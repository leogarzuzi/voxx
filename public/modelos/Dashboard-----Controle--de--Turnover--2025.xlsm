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slicers/slicer1.xml" ContentType="application/vnd.ms-excel.slicer+xml"/>
  <Override PartName="/xl/drawings/drawing3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slicers/slicer2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172E4E1F-E5EF-0DF4-AAB5-FFAA808CBF94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hlundbeck-my.sharepoint.com/personal/rodm_lundbeck_com/Documents/Particular/Life Time Produtividade/Contratos Ativos/Lucas Bertoncelli/Recriação de Dashboards 3/Entregas/"/>
    </mc:Choice>
  </mc:AlternateContent>
  <xr:revisionPtr revIDLastSave="4" documentId="10_ncr:20000_{3E471929-441D-4A29-B25D-4CB650597374}" xr6:coauthVersionLast="47" xr6:coauthVersionMax="47" xr10:uidLastSave="{9075089B-5258-4338-920A-7132E8AD2D5B}"/>
  <bookViews>
    <workbookView xWindow="-120" yWindow="-120" windowWidth="28215" windowHeight="15840" tabRatio="487" activeTab="3" xr2:uid="{00000000-000D-0000-FFFF-FFFF00000000}"/>
  </bookViews>
  <sheets>
    <sheet name="Relação de Funcionários Gerais" sheetId="1" r:id="rId1"/>
    <sheet name="Dinamicas" sheetId="2" r:id="rId2"/>
    <sheet name="Base de dados 02" sheetId="3" r:id="rId3"/>
    <sheet name="Dash" sheetId="5" r:id="rId4"/>
    <sheet name="Dashboard" sheetId="4" r:id="rId5"/>
  </sheets>
  <definedNames>
    <definedName name="SegmentaçãodeDados_Ano">#N/A</definedName>
    <definedName name="SegmentaçãodeDados_Ano_entrada">#N/A</definedName>
    <definedName name="SegmentaçãodeDados_Ano_saída">#N/A</definedName>
    <definedName name="SegmentaçãodeDados_Mês_entrada">#N/A</definedName>
    <definedName name="SegmentaçãodeDados_Mês_saída">#N/A</definedName>
  </definedNames>
  <calcPr calcId="191029"/>
  <pivotCaches>
    <pivotCache cacheId="170" r:id="rId6"/>
    <pivotCache cacheId="171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  <x14:slicerCache r:id="rId10"/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86" i="1" l="1"/>
  <c r="I386" i="1"/>
  <c r="K386" i="1"/>
  <c r="L386" i="1"/>
  <c r="N386" i="1"/>
  <c r="S6" i="2"/>
  <c r="G21" i="3" l="1"/>
  <c r="G22" i="3" s="1"/>
  <c r="G23" i="3" s="1"/>
  <c r="G24" i="3" s="1"/>
  <c r="G25" i="3" s="1"/>
  <c r="G26" i="3" s="1"/>
  <c r="L9" i="3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L16" i="3"/>
  <c r="L15" i="3"/>
  <c r="L14" i="3"/>
  <c r="L6" i="3"/>
  <c r="L7" i="3"/>
  <c r="L8" i="3"/>
  <c r="L75" i="3"/>
  <c r="L76" i="3"/>
  <c r="L77" i="3"/>
  <c r="L74" i="3"/>
  <c r="L73" i="3"/>
  <c r="L72" i="3"/>
  <c r="L71" i="3"/>
  <c r="L70" i="3"/>
  <c r="L69" i="3"/>
  <c r="L68" i="3"/>
  <c r="L67" i="3"/>
  <c r="L10" i="3"/>
  <c r="L11" i="3"/>
  <c r="L12" i="3"/>
  <c r="L13" i="3"/>
  <c r="L17" i="3"/>
  <c r="L18" i="3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I6" i="1"/>
  <c r="L20" i="3" l="1"/>
  <c r="L19" i="3"/>
  <c r="L21" i="3" l="1"/>
  <c r="L22" i="3" l="1"/>
  <c r="L23" i="3" l="1"/>
  <c r="L24" i="3" l="1"/>
  <c r="L25" i="3" l="1"/>
  <c r="J291" i="1"/>
  <c r="J73" i="1"/>
  <c r="J134" i="1"/>
  <c r="J158" i="1"/>
  <c r="J74" i="1"/>
  <c r="J338" i="1"/>
  <c r="J265" i="1"/>
  <c r="J380" i="1"/>
  <c r="J347" i="1"/>
  <c r="J354" i="1"/>
  <c r="J97" i="1"/>
  <c r="J327" i="1"/>
  <c r="J316" i="1"/>
  <c r="J355" i="1"/>
  <c r="J75" i="1"/>
  <c r="J52" i="1"/>
  <c r="J309" i="1"/>
  <c r="J237" i="1"/>
  <c r="J146" i="1"/>
  <c r="J205" i="1"/>
  <c r="J179" i="1"/>
  <c r="J128" i="1"/>
  <c r="J27" i="1"/>
  <c r="J313" i="1"/>
  <c r="J76" i="1"/>
  <c r="J30" i="1"/>
  <c r="J292" i="1"/>
  <c r="J12" i="1"/>
  <c r="J317" i="1"/>
  <c r="J314" i="1"/>
  <c r="J53" i="1"/>
  <c r="J224" i="1"/>
  <c r="J178" i="1"/>
  <c r="J123" i="1"/>
  <c r="J129" i="1"/>
  <c r="J269" i="1"/>
  <c r="J194" i="1"/>
  <c r="J77" i="1"/>
  <c r="J356" i="1"/>
  <c r="J98" i="1"/>
  <c r="J78" i="1"/>
  <c r="J195" i="1"/>
  <c r="J256" i="1"/>
  <c r="J147" i="1"/>
  <c r="J206" i="1"/>
  <c r="J339" i="1"/>
  <c r="J160" i="1"/>
  <c r="J225" i="1"/>
  <c r="J54" i="1"/>
  <c r="J165" i="1"/>
  <c r="J135" i="1"/>
  <c r="J257" i="1"/>
  <c r="J276" i="1"/>
  <c r="J185" i="1"/>
  <c r="J186" i="1"/>
  <c r="J348" i="1"/>
  <c r="J31" i="1"/>
  <c r="J79" i="1"/>
  <c r="J323" i="1"/>
  <c r="J207" i="1"/>
  <c r="J274" i="1"/>
  <c r="J375" i="1"/>
  <c r="J136" i="1"/>
  <c r="J308" i="1"/>
  <c r="J341" i="1"/>
  <c r="J21" i="1"/>
  <c r="J99" i="1"/>
  <c r="J66" i="1"/>
  <c r="J335" i="1"/>
  <c r="J137" i="1"/>
  <c r="J67" i="1"/>
  <c r="J277" i="1"/>
  <c r="J182" i="1"/>
  <c r="J166" i="1"/>
  <c r="J324" i="1"/>
  <c r="J22" i="1"/>
  <c r="J148" i="1"/>
  <c r="J310" i="1"/>
  <c r="J288" i="1"/>
  <c r="J293" i="1"/>
  <c r="J303" i="1"/>
  <c r="J362" i="1"/>
  <c r="J80" i="1"/>
  <c r="J357" i="1"/>
  <c r="J13" i="1"/>
  <c r="J208" i="1"/>
  <c r="J100" i="1"/>
  <c r="J363" i="1"/>
  <c r="J248" i="1"/>
  <c r="J342" i="1"/>
  <c r="J187" i="1"/>
  <c r="J124" i="1"/>
  <c r="J336" i="1"/>
  <c r="J294" i="1"/>
  <c r="J209" i="1"/>
  <c r="J275" i="1"/>
  <c r="J204" i="1"/>
  <c r="J249" i="1"/>
  <c r="J278" i="1"/>
  <c r="J142" i="1"/>
  <c r="J184" i="1"/>
  <c r="J7" i="1"/>
  <c r="J311" i="1"/>
  <c r="J340" i="1"/>
  <c r="J101" i="1"/>
  <c r="J71" i="1"/>
  <c r="J130" i="1"/>
  <c r="J253" i="1"/>
  <c r="J218" i="1"/>
  <c r="J312" i="1"/>
  <c r="J334" i="1"/>
  <c r="J345" i="1"/>
  <c r="J102" i="1"/>
  <c r="J325" i="1"/>
  <c r="J226" i="1"/>
  <c r="J376" i="1"/>
  <c r="J227" i="1"/>
  <c r="J131" i="1"/>
  <c r="J103" i="1"/>
  <c r="J196" i="1"/>
  <c r="J258" i="1"/>
  <c r="J259" i="1"/>
  <c r="J326" i="1"/>
  <c r="J238" i="1"/>
  <c r="J295" i="1"/>
  <c r="J104" i="1"/>
  <c r="J51" i="1"/>
  <c r="J349" i="1"/>
  <c r="J193" i="1"/>
  <c r="J210" i="1"/>
  <c r="J250" i="1"/>
  <c r="J211" i="1"/>
  <c r="J289" i="1"/>
  <c r="J364" i="1"/>
  <c r="J197" i="1"/>
  <c r="J260" i="1"/>
  <c r="J350" i="1"/>
  <c r="J183" i="1"/>
  <c r="J322" i="1"/>
  <c r="J365" i="1"/>
  <c r="J23" i="1"/>
  <c r="J296" i="1"/>
  <c r="J60" i="1"/>
  <c r="J351" i="1"/>
  <c r="J239" i="1"/>
  <c r="J302" i="1"/>
  <c r="J81" i="1"/>
  <c r="J212" i="1"/>
  <c r="J149" i="1"/>
  <c r="J47" i="1"/>
  <c r="J279" i="1"/>
  <c r="J270" i="1"/>
  <c r="J48" i="1"/>
  <c r="J105" i="1"/>
  <c r="J150" i="1"/>
  <c r="J151" i="1"/>
  <c r="J152" i="1"/>
  <c r="J383" i="1"/>
  <c r="J219" i="1"/>
  <c r="J240" i="1"/>
  <c r="J153" i="1"/>
  <c r="J358" i="1"/>
  <c r="J286" i="1"/>
  <c r="J261" i="1"/>
  <c r="J320" i="1"/>
  <c r="J366" i="1"/>
  <c r="J241" i="1"/>
  <c r="J175" i="1"/>
  <c r="J26" i="1"/>
  <c r="J280" i="1"/>
  <c r="J176" i="1"/>
  <c r="J161" i="1"/>
  <c r="J125" i="1"/>
  <c r="J220" i="1"/>
  <c r="J61" i="1"/>
  <c r="J177" i="1"/>
  <c r="J202" i="1"/>
  <c r="J203" i="1"/>
  <c r="J32" i="1"/>
  <c r="J192" i="1"/>
  <c r="J188" i="1"/>
  <c r="J367" i="1"/>
  <c r="J167" i="1"/>
  <c r="J82" i="1"/>
  <c r="J221" i="1"/>
  <c r="J297" i="1"/>
  <c r="J262" i="1"/>
  <c r="J106" i="1"/>
  <c r="J332" i="1"/>
  <c r="J337" i="1"/>
  <c r="J213" i="1"/>
  <c r="J107" i="1"/>
  <c r="J55" i="1"/>
  <c r="J33" i="1"/>
  <c r="J108" i="1"/>
  <c r="J168" i="1"/>
  <c r="J138" i="1"/>
  <c r="J109" i="1"/>
  <c r="J245" i="1"/>
  <c r="J228" i="1"/>
  <c r="J126" i="1"/>
  <c r="J377" i="1"/>
  <c r="J62" i="1"/>
  <c r="J132" i="1"/>
  <c r="J304" i="1"/>
  <c r="J34" i="1"/>
  <c r="J14" i="1"/>
  <c r="J251" i="1"/>
  <c r="J63" i="1"/>
  <c r="J222" i="1"/>
  <c r="J15" i="1"/>
  <c r="J29" i="1"/>
  <c r="J133" i="1"/>
  <c r="J35" i="1"/>
  <c r="J298" i="1"/>
  <c r="J368" i="1"/>
  <c r="J229" i="1"/>
  <c r="J246" i="1"/>
  <c r="J110" i="1"/>
  <c r="J379" i="1"/>
  <c r="J36" i="1"/>
  <c r="J230" i="1"/>
  <c r="J352" i="1"/>
  <c r="J159" i="1"/>
  <c r="J198" i="1"/>
  <c r="J353" i="1"/>
  <c r="J49" i="1"/>
  <c r="J189" i="1"/>
  <c r="J254" i="1"/>
  <c r="J50" i="1"/>
  <c r="J344" i="1"/>
  <c r="J315" i="1"/>
  <c r="J299" i="1"/>
  <c r="J24" i="1"/>
  <c r="J300" i="1"/>
  <c r="J190" i="1"/>
  <c r="J145" i="1"/>
  <c r="J139" i="1"/>
  <c r="J16" i="1"/>
  <c r="J83" i="1"/>
  <c r="J84" i="1"/>
  <c r="J169" i="1"/>
  <c r="J154" i="1"/>
  <c r="J378" i="1"/>
  <c r="J382" i="1"/>
  <c r="J6" i="1"/>
  <c r="J301" i="1"/>
  <c r="J111" i="1"/>
  <c r="J162" i="1"/>
  <c r="J112" i="1"/>
  <c r="J155" i="1"/>
  <c r="J56" i="1"/>
  <c r="J25" i="1"/>
  <c r="J231" i="1"/>
  <c r="J306" i="1"/>
  <c r="J263" i="1"/>
  <c r="J11" i="1"/>
  <c r="J236" i="1"/>
  <c r="J85" i="1"/>
  <c r="J359" i="1"/>
  <c r="J214" i="1"/>
  <c r="J232" i="1"/>
  <c r="J369" i="1"/>
  <c r="J113" i="1"/>
  <c r="J328" i="1"/>
  <c r="J17" i="1"/>
  <c r="J215" i="1"/>
  <c r="J37" i="1"/>
  <c r="J381" i="1"/>
  <c r="J199" i="1"/>
  <c r="J86" i="1"/>
  <c r="J266" i="1"/>
  <c r="J233" i="1"/>
  <c r="J252" i="1"/>
  <c r="J87" i="1"/>
  <c r="J38" i="1"/>
  <c r="J281" i="1"/>
  <c r="J234" i="1"/>
  <c r="J267" i="1"/>
  <c r="J18" i="1"/>
  <c r="J39" i="1"/>
  <c r="J140" i="1"/>
  <c r="J307" i="1"/>
  <c r="J40" i="1"/>
  <c r="J247" i="1"/>
  <c r="J8" i="1"/>
  <c r="J114" i="1"/>
  <c r="J115" i="1"/>
  <c r="J170" i="1"/>
  <c r="J271" i="1"/>
  <c r="J346" i="1"/>
  <c r="J41" i="1"/>
  <c r="J282" i="1"/>
  <c r="J19" i="1"/>
  <c r="J116" i="1"/>
  <c r="J117" i="1"/>
  <c r="J242" i="1"/>
  <c r="J370" i="1"/>
  <c r="J384" i="1"/>
  <c r="J10" i="1"/>
  <c r="J20" i="1"/>
  <c r="J127" i="1"/>
  <c r="J268" i="1"/>
  <c r="J68" i="1"/>
  <c r="J200" i="1"/>
  <c r="J57" i="1"/>
  <c r="J201" i="1"/>
  <c r="J88" i="1"/>
  <c r="J42" i="1"/>
  <c r="J143" i="1"/>
  <c r="J329" i="1"/>
  <c r="J360" i="1"/>
  <c r="J223" i="1"/>
  <c r="J64" i="1"/>
  <c r="J180" i="1"/>
  <c r="J321" i="1"/>
  <c r="J72" i="1"/>
  <c r="J361" i="1"/>
  <c r="J255" i="1"/>
  <c r="J118" i="1"/>
  <c r="J122" i="1"/>
  <c r="J28" i="1"/>
  <c r="J69" i="1"/>
  <c r="J171" i="1"/>
  <c r="J156" i="1"/>
  <c r="J217" i="1"/>
  <c r="J191" i="1"/>
  <c r="J333" i="1"/>
  <c r="J89" i="1"/>
  <c r="J141" i="1"/>
  <c r="J331" i="1"/>
  <c r="J272" i="1"/>
  <c r="J385" i="1"/>
  <c r="J119" i="1"/>
  <c r="J264" i="1"/>
  <c r="J371" i="1"/>
  <c r="J243" i="1"/>
  <c r="J157" i="1"/>
  <c r="J330" i="1"/>
  <c r="J273" i="1"/>
  <c r="J172" i="1"/>
  <c r="J43" i="1"/>
  <c r="J163" i="1"/>
  <c r="J90" i="1"/>
  <c r="J283" i="1"/>
  <c r="J9" i="1"/>
  <c r="J372" i="1"/>
  <c r="J65" i="1"/>
  <c r="J235" i="1"/>
  <c r="J91" i="1"/>
  <c r="J44" i="1"/>
  <c r="J181" i="1"/>
  <c r="J173" i="1"/>
  <c r="J343" i="1"/>
  <c r="J70" i="1"/>
  <c r="J284" i="1"/>
  <c r="J373" i="1"/>
  <c r="J290" i="1"/>
  <c r="J164" i="1"/>
  <c r="J374" i="1"/>
  <c r="J92" i="1"/>
  <c r="J45" i="1"/>
  <c r="J93" i="1"/>
  <c r="J144" i="1"/>
  <c r="J46" i="1"/>
  <c r="J94" i="1"/>
  <c r="J58" i="1"/>
  <c r="J216" i="1"/>
  <c r="J174" i="1"/>
  <c r="J95" i="1"/>
  <c r="J120" i="1"/>
  <c r="J318" i="1"/>
  <c r="J59" i="1"/>
  <c r="J305" i="1"/>
  <c r="J244" i="1"/>
  <c r="J287" i="1"/>
  <c r="J319" i="1"/>
  <c r="J96" i="1"/>
  <c r="J285" i="1"/>
  <c r="J121" i="1"/>
  <c r="I291" i="1"/>
  <c r="I73" i="1"/>
  <c r="I134" i="1"/>
  <c r="I158" i="1"/>
  <c r="I74" i="1"/>
  <c r="I338" i="1"/>
  <c r="I265" i="1"/>
  <c r="I380" i="1"/>
  <c r="I347" i="1"/>
  <c r="I354" i="1"/>
  <c r="I97" i="1"/>
  <c r="I327" i="1"/>
  <c r="I316" i="1"/>
  <c r="I355" i="1"/>
  <c r="I75" i="1"/>
  <c r="I52" i="1"/>
  <c r="I309" i="1"/>
  <c r="I237" i="1"/>
  <c r="I146" i="1"/>
  <c r="I205" i="1"/>
  <c r="I179" i="1"/>
  <c r="I128" i="1"/>
  <c r="I27" i="1"/>
  <c r="I313" i="1"/>
  <c r="I76" i="1"/>
  <c r="I30" i="1"/>
  <c r="I292" i="1"/>
  <c r="I12" i="1"/>
  <c r="I317" i="1"/>
  <c r="I314" i="1"/>
  <c r="I53" i="1"/>
  <c r="I224" i="1"/>
  <c r="I178" i="1"/>
  <c r="I123" i="1"/>
  <c r="I129" i="1"/>
  <c r="I269" i="1"/>
  <c r="I194" i="1"/>
  <c r="I77" i="1"/>
  <c r="I356" i="1"/>
  <c r="I98" i="1"/>
  <c r="I78" i="1"/>
  <c r="I195" i="1"/>
  <c r="I256" i="1"/>
  <c r="I147" i="1"/>
  <c r="I206" i="1"/>
  <c r="I339" i="1"/>
  <c r="I160" i="1"/>
  <c r="I225" i="1"/>
  <c r="I54" i="1"/>
  <c r="I165" i="1"/>
  <c r="I135" i="1"/>
  <c r="I257" i="1"/>
  <c r="I276" i="1"/>
  <c r="I185" i="1"/>
  <c r="I186" i="1"/>
  <c r="I348" i="1"/>
  <c r="I31" i="1"/>
  <c r="I79" i="1"/>
  <c r="I323" i="1"/>
  <c r="I207" i="1"/>
  <c r="I274" i="1"/>
  <c r="I375" i="1"/>
  <c r="I136" i="1"/>
  <c r="I308" i="1"/>
  <c r="I341" i="1"/>
  <c r="I21" i="1"/>
  <c r="I99" i="1"/>
  <c r="I66" i="1"/>
  <c r="I335" i="1"/>
  <c r="I137" i="1"/>
  <c r="I67" i="1"/>
  <c r="I277" i="1"/>
  <c r="I182" i="1"/>
  <c r="I166" i="1"/>
  <c r="I324" i="1"/>
  <c r="I22" i="1"/>
  <c r="I148" i="1"/>
  <c r="I310" i="1"/>
  <c r="I288" i="1"/>
  <c r="I293" i="1"/>
  <c r="I303" i="1"/>
  <c r="I362" i="1"/>
  <c r="I80" i="1"/>
  <c r="I357" i="1"/>
  <c r="I13" i="1"/>
  <c r="I208" i="1"/>
  <c r="I100" i="1"/>
  <c r="I363" i="1"/>
  <c r="I248" i="1"/>
  <c r="I342" i="1"/>
  <c r="I187" i="1"/>
  <c r="I124" i="1"/>
  <c r="I336" i="1"/>
  <c r="I294" i="1"/>
  <c r="I209" i="1"/>
  <c r="I275" i="1"/>
  <c r="I204" i="1"/>
  <c r="I249" i="1"/>
  <c r="I278" i="1"/>
  <c r="I142" i="1"/>
  <c r="I184" i="1"/>
  <c r="I7" i="1"/>
  <c r="I311" i="1"/>
  <c r="I340" i="1"/>
  <c r="I101" i="1"/>
  <c r="I71" i="1"/>
  <c r="I130" i="1"/>
  <c r="I253" i="1"/>
  <c r="I218" i="1"/>
  <c r="I312" i="1"/>
  <c r="I334" i="1"/>
  <c r="I345" i="1"/>
  <c r="I102" i="1"/>
  <c r="I325" i="1"/>
  <c r="I226" i="1"/>
  <c r="I376" i="1"/>
  <c r="I227" i="1"/>
  <c r="I131" i="1"/>
  <c r="I103" i="1"/>
  <c r="I196" i="1"/>
  <c r="I258" i="1"/>
  <c r="I259" i="1"/>
  <c r="I326" i="1"/>
  <c r="I238" i="1"/>
  <c r="I295" i="1"/>
  <c r="I104" i="1"/>
  <c r="I51" i="1"/>
  <c r="I349" i="1"/>
  <c r="I193" i="1"/>
  <c r="I210" i="1"/>
  <c r="I250" i="1"/>
  <c r="I211" i="1"/>
  <c r="I289" i="1"/>
  <c r="I364" i="1"/>
  <c r="I197" i="1"/>
  <c r="I260" i="1"/>
  <c r="I350" i="1"/>
  <c r="I183" i="1"/>
  <c r="I322" i="1"/>
  <c r="I365" i="1"/>
  <c r="I23" i="1"/>
  <c r="I296" i="1"/>
  <c r="I60" i="1"/>
  <c r="I351" i="1"/>
  <c r="I239" i="1"/>
  <c r="I302" i="1"/>
  <c r="I81" i="1"/>
  <c r="I212" i="1"/>
  <c r="I149" i="1"/>
  <c r="I47" i="1"/>
  <c r="I279" i="1"/>
  <c r="I270" i="1"/>
  <c r="I48" i="1"/>
  <c r="I105" i="1"/>
  <c r="I150" i="1"/>
  <c r="I151" i="1"/>
  <c r="I152" i="1"/>
  <c r="I383" i="1"/>
  <c r="I219" i="1"/>
  <c r="I240" i="1"/>
  <c r="I153" i="1"/>
  <c r="I358" i="1"/>
  <c r="I286" i="1"/>
  <c r="I261" i="1"/>
  <c r="I320" i="1"/>
  <c r="I366" i="1"/>
  <c r="I241" i="1"/>
  <c r="I175" i="1"/>
  <c r="I26" i="1"/>
  <c r="I280" i="1"/>
  <c r="I176" i="1"/>
  <c r="I161" i="1"/>
  <c r="I125" i="1"/>
  <c r="I220" i="1"/>
  <c r="I61" i="1"/>
  <c r="I177" i="1"/>
  <c r="I202" i="1"/>
  <c r="I203" i="1"/>
  <c r="I32" i="1"/>
  <c r="I192" i="1"/>
  <c r="I188" i="1"/>
  <c r="I367" i="1"/>
  <c r="I167" i="1"/>
  <c r="I82" i="1"/>
  <c r="I221" i="1"/>
  <c r="I297" i="1"/>
  <c r="I262" i="1"/>
  <c r="I106" i="1"/>
  <c r="I332" i="1"/>
  <c r="I337" i="1"/>
  <c r="I213" i="1"/>
  <c r="I107" i="1"/>
  <c r="I55" i="1"/>
  <c r="I33" i="1"/>
  <c r="I108" i="1"/>
  <c r="I168" i="1"/>
  <c r="I138" i="1"/>
  <c r="I109" i="1"/>
  <c r="I245" i="1"/>
  <c r="I228" i="1"/>
  <c r="I126" i="1"/>
  <c r="I377" i="1"/>
  <c r="I62" i="1"/>
  <c r="I132" i="1"/>
  <c r="I304" i="1"/>
  <c r="I34" i="1"/>
  <c r="I14" i="1"/>
  <c r="I251" i="1"/>
  <c r="I63" i="1"/>
  <c r="I222" i="1"/>
  <c r="I15" i="1"/>
  <c r="I29" i="1"/>
  <c r="I133" i="1"/>
  <c r="I35" i="1"/>
  <c r="I298" i="1"/>
  <c r="I368" i="1"/>
  <c r="I229" i="1"/>
  <c r="I246" i="1"/>
  <c r="I110" i="1"/>
  <c r="I379" i="1"/>
  <c r="I36" i="1"/>
  <c r="I230" i="1"/>
  <c r="I352" i="1"/>
  <c r="I159" i="1"/>
  <c r="I198" i="1"/>
  <c r="I353" i="1"/>
  <c r="I49" i="1"/>
  <c r="I189" i="1"/>
  <c r="I254" i="1"/>
  <c r="I50" i="1"/>
  <c r="I344" i="1"/>
  <c r="I315" i="1"/>
  <c r="I299" i="1"/>
  <c r="I24" i="1"/>
  <c r="I300" i="1"/>
  <c r="I190" i="1"/>
  <c r="I145" i="1"/>
  <c r="I139" i="1"/>
  <c r="I16" i="1"/>
  <c r="I83" i="1"/>
  <c r="I84" i="1"/>
  <c r="I169" i="1"/>
  <c r="I154" i="1"/>
  <c r="I378" i="1"/>
  <c r="I382" i="1"/>
  <c r="I301" i="1"/>
  <c r="I111" i="1"/>
  <c r="I162" i="1"/>
  <c r="I112" i="1"/>
  <c r="I155" i="1"/>
  <c r="I56" i="1"/>
  <c r="I25" i="1"/>
  <c r="I231" i="1"/>
  <c r="I306" i="1"/>
  <c r="I263" i="1"/>
  <c r="I11" i="1"/>
  <c r="I236" i="1"/>
  <c r="I85" i="1"/>
  <c r="I359" i="1"/>
  <c r="I214" i="1"/>
  <c r="I232" i="1"/>
  <c r="I369" i="1"/>
  <c r="I113" i="1"/>
  <c r="I328" i="1"/>
  <c r="I17" i="1"/>
  <c r="I215" i="1"/>
  <c r="I37" i="1"/>
  <c r="I381" i="1"/>
  <c r="I199" i="1"/>
  <c r="I86" i="1"/>
  <c r="I266" i="1"/>
  <c r="I233" i="1"/>
  <c r="I252" i="1"/>
  <c r="I87" i="1"/>
  <c r="I38" i="1"/>
  <c r="I281" i="1"/>
  <c r="I234" i="1"/>
  <c r="I267" i="1"/>
  <c r="I18" i="1"/>
  <c r="I39" i="1"/>
  <c r="I140" i="1"/>
  <c r="I307" i="1"/>
  <c r="I40" i="1"/>
  <c r="I247" i="1"/>
  <c r="I8" i="1"/>
  <c r="I114" i="1"/>
  <c r="I115" i="1"/>
  <c r="I170" i="1"/>
  <c r="I271" i="1"/>
  <c r="I346" i="1"/>
  <c r="I41" i="1"/>
  <c r="I282" i="1"/>
  <c r="I19" i="1"/>
  <c r="I116" i="1"/>
  <c r="I117" i="1"/>
  <c r="I242" i="1"/>
  <c r="I370" i="1"/>
  <c r="I384" i="1"/>
  <c r="I10" i="1"/>
  <c r="I20" i="1"/>
  <c r="I127" i="1"/>
  <c r="I268" i="1"/>
  <c r="I68" i="1"/>
  <c r="I200" i="1"/>
  <c r="I57" i="1"/>
  <c r="I201" i="1"/>
  <c r="I88" i="1"/>
  <c r="I42" i="1"/>
  <c r="I143" i="1"/>
  <c r="I329" i="1"/>
  <c r="I360" i="1"/>
  <c r="I223" i="1"/>
  <c r="I64" i="1"/>
  <c r="I180" i="1"/>
  <c r="I321" i="1"/>
  <c r="I72" i="1"/>
  <c r="I361" i="1"/>
  <c r="I255" i="1"/>
  <c r="I118" i="1"/>
  <c r="I122" i="1"/>
  <c r="I28" i="1"/>
  <c r="I69" i="1"/>
  <c r="I171" i="1"/>
  <c r="I156" i="1"/>
  <c r="I217" i="1"/>
  <c r="I191" i="1"/>
  <c r="I333" i="1"/>
  <c r="I89" i="1"/>
  <c r="I141" i="1"/>
  <c r="I331" i="1"/>
  <c r="I272" i="1"/>
  <c r="I385" i="1"/>
  <c r="I119" i="1"/>
  <c r="I264" i="1"/>
  <c r="I371" i="1"/>
  <c r="I243" i="1"/>
  <c r="I157" i="1"/>
  <c r="I330" i="1"/>
  <c r="I273" i="1"/>
  <c r="I172" i="1"/>
  <c r="I43" i="1"/>
  <c r="I163" i="1"/>
  <c r="I90" i="1"/>
  <c r="I283" i="1"/>
  <c r="I9" i="1"/>
  <c r="I372" i="1"/>
  <c r="I65" i="1"/>
  <c r="I235" i="1"/>
  <c r="I91" i="1"/>
  <c r="I44" i="1"/>
  <c r="I181" i="1"/>
  <c r="I173" i="1"/>
  <c r="I343" i="1"/>
  <c r="I70" i="1"/>
  <c r="I284" i="1"/>
  <c r="I373" i="1"/>
  <c r="I290" i="1"/>
  <c r="I164" i="1"/>
  <c r="I374" i="1"/>
  <c r="I92" i="1"/>
  <c r="I45" i="1"/>
  <c r="I93" i="1"/>
  <c r="I144" i="1"/>
  <c r="I46" i="1"/>
  <c r="I94" i="1"/>
  <c r="I58" i="1"/>
  <c r="I216" i="1"/>
  <c r="I174" i="1"/>
  <c r="I95" i="1"/>
  <c r="I120" i="1"/>
  <c r="I318" i="1"/>
  <c r="I59" i="1"/>
  <c r="I305" i="1"/>
  <c r="I244" i="1"/>
  <c r="I287" i="1"/>
  <c r="I319" i="1"/>
  <c r="I96" i="1"/>
  <c r="I285" i="1"/>
  <c r="I121" i="1"/>
  <c r="G27" i="3" l="1"/>
  <c r="L26" i="3"/>
  <c r="G28" i="3" l="1"/>
  <c r="L27" i="3"/>
  <c r="G29" i="3" l="1"/>
  <c r="L28" i="3"/>
  <c r="L29" i="3" l="1"/>
  <c r="G30" i="3"/>
  <c r="G31" i="3" l="1"/>
  <c r="L30" i="3"/>
  <c r="L31" i="3" l="1"/>
  <c r="G32" i="3"/>
  <c r="L32" i="3" l="1"/>
  <c r="G33" i="3"/>
  <c r="G34" i="3" l="1"/>
  <c r="L33" i="3"/>
  <c r="G35" i="3" l="1"/>
  <c r="L34" i="3"/>
  <c r="L35" i="3" l="1"/>
  <c r="G36" i="3"/>
  <c r="L36" i="3" l="1"/>
  <c r="G37" i="3"/>
  <c r="L37" i="3" l="1"/>
  <c r="G38" i="3"/>
  <c r="L38" i="3" l="1"/>
  <c r="G39" i="3"/>
  <c r="L39" i="3" l="1"/>
  <c r="G40" i="3"/>
  <c r="L40" i="3" l="1"/>
  <c r="G41" i="3"/>
  <c r="L41" i="3" l="1"/>
  <c r="G42" i="3"/>
  <c r="G43" i="3" l="1"/>
  <c r="L42" i="3"/>
  <c r="G44" i="3" l="1"/>
  <c r="L43" i="3"/>
  <c r="L44" i="3" l="1"/>
  <c r="G45" i="3"/>
  <c r="L45" i="3" l="1"/>
  <c r="G46" i="3"/>
  <c r="G47" i="3" l="1"/>
  <c r="L46" i="3"/>
  <c r="L47" i="3" l="1"/>
  <c r="G48" i="3"/>
  <c r="G49" i="3" l="1"/>
  <c r="L48" i="3"/>
  <c r="G50" i="3" l="1"/>
  <c r="L49" i="3"/>
  <c r="G51" i="3" l="1"/>
  <c r="L50" i="3"/>
  <c r="G52" i="3" l="1"/>
  <c r="L51" i="3"/>
  <c r="L52" i="3" l="1"/>
  <c r="G53" i="3"/>
  <c r="L53" i="3" l="1"/>
  <c r="G54" i="3"/>
  <c r="G55" i="3" l="1"/>
  <c r="L54" i="3"/>
  <c r="G56" i="3" l="1"/>
  <c r="L55" i="3"/>
  <c r="L56" i="3" l="1"/>
  <c r="G57" i="3"/>
  <c r="L57" i="3" l="1"/>
  <c r="G58" i="3"/>
  <c r="L58" i="3" l="1"/>
  <c r="G59" i="3"/>
  <c r="G60" i="3" l="1"/>
  <c r="L59" i="3"/>
  <c r="L60" i="3" l="1"/>
  <c r="G61" i="3"/>
  <c r="G62" i="3" l="1"/>
  <c r="L61" i="3"/>
  <c r="G63" i="3" l="1"/>
  <c r="L62" i="3"/>
  <c r="G64" i="3" l="1"/>
  <c r="L63" i="3"/>
  <c r="L64" i="3" l="1"/>
  <c r="G65" i="3"/>
  <c r="L65" i="3" l="1"/>
  <c r="G66" i="3"/>
  <c r="L66" i="3" s="1"/>
</calcChain>
</file>

<file path=xl/sharedStrings.xml><?xml version="1.0" encoding="utf-8"?>
<sst xmlns="http://schemas.openxmlformats.org/spreadsheetml/2006/main" count="1417" uniqueCount="623">
  <si>
    <t>Nome</t>
  </si>
  <si>
    <t>Data de Nascimento</t>
  </si>
  <si>
    <t>Data Admissão</t>
  </si>
  <si>
    <t>Data de Saída</t>
  </si>
  <si>
    <t>31/05/2023</t>
  </si>
  <si>
    <t>29/03/2021</t>
  </si>
  <si>
    <t>08/02/2022</t>
  </si>
  <si>
    <t>05/01/2021</t>
  </si>
  <si>
    <t>17/03/2021</t>
  </si>
  <si>
    <t>22/09/2023</t>
  </si>
  <si>
    <t>10/10/2023</t>
  </si>
  <si>
    <t>16/12/2023</t>
  </si>
  <si>
    <t>25/02/2021</t>
  </si>
  <si>
    <t>16/07/2020</t>
  </si>
  <si>
    <t>28/04/2022</t>
  </si>
  <si>
    <t>06/07/2020</t>
  </si>
  <si>
    <t>10/05/2022</t>
  </si>
  <si>
    <t>29/06/2020</t>
  </si>
  <si>
    <t>11/02/2021</t>
  </si>
  <si>
    <t>07/12/2023</t>
  </si>
  <si>
    <t>24/02/2021</t>
  </si>
  <si>
    <t>18/09/2019</t>
  </si>
  <si>
    <t>01/02/2023</t>
  </si>
  <si>
    <t>26/04/2023</t>
  </si>
  <si>
    <t>03/04/2023</t>
  </si>
  <si>
    <t>27/04/2022</t>
  </si>
  <si>
    <t>25/10/2020</t>
  </si>
  <si>
    <t>03/06/2021</t>
  </si>
  <si>
    <t>28/07/2022</t>
  </si>
  <si>
    <t>29/01/2020</t>
  </si>
  <si>
    <t>08/03/2021</t>
  </si>
  <si>
    <t>13/09/2021</t>
  </si>
  <si>
    <t>24/06/2021</t>
  </si>
  <si>
    <t>23/05/2022</t>
  </si>
  <si>
    <t>26/07/2020</t>
  </si>
  <si>
    <t>03/02/2020</t>
  </si>
  <si>
    <t>19/12/2022</t>
  </si>
  <si>
    <t>02/10/2019</t>
  </si>
  <si>
    <t>23/11/2023</t>
  </si>
  <si>
    <t>23/10/2020</t>
  </si>
  <si>
    <t>02/03/2023</t>
  </si>
  <si>
    <t>18/01/2021</t>
  </si>
  <si>
    <t>10/03/2021</t>
  </si>
  <si>
    <t>20/01/2021</t>
  </si>
  <si>
    <t>15/06/2023</t>
  </si>
  <si>
    <t>12/12/2019</t>
  </si>
  <si>
    <t>14/12/2022</t>
  </si>
  <si>
    <t>24/08/2023</t>
  </si>
  <si>
    <t>01/04/2022</t>
  </si>
  <si>
    <t>30/01/2020</t>
  </si>
  <si>
    <t>02/09/2022</t>
  </si>
  <si>
    <t>23/08/2023</t>
  </si>
  <si>
    <t>20/02/2021</t>
  </si>
  <si>
    <t>05/10/2023</t>
  </si>
  <si>
    <t>19/02/2022</t>
  </si>
  <si>
    <t>11/09/2020</t>
  </si>
  <si>
    <t>11/03/2014</t>
  </si>
  <si>
    <t>04/05/2023</t>
  </si>
  <si>
    <t>05/05/2021</t>
  </si>
  <si>
    <t>30/04/2020</t>
  </si>
  <si>
    <t>16/05/2022</t>
  </si>
  <si>
    <t>05/09/2023</t>
  </si>
  <si>
    <t>22/08/2020</t>
  </si>
  <si>
    <t>11/05/2023</t>
  </si>
  <si>
    <t>03/10/2021</t>
  </si>
  <si>
    <t>12/09/2023</t>
  </si>
  <si>
    <t>16/08/2022</t>
  </si>
  <si>
    <t>07/04/2022</t>
  </si>
  <si>
    <t>26/08/2020</t>
  </si>
  <si>
    <t>09/03/2021</t>
  </si>
  <si>
    <t>29/12/2022</t>
  </si>
  <si>
    <t>06/11/2023</t>
  </si>
  <si>
    <t>19/05/2023</t>
  </si>
  <si>
    <t>01/08/2019</t>
  </si>
  <si>
    <t>21/02/2023</t>
  </si>
  <si>
    <t>02/10/2023</t>
  </si>
  <si>
    <t>21/10/2020</t>
  </si>
  <si>
    <t>07/12/2020</t>
  </si>
  <si>
    <t>06/12/2022</t>
  </si>
  <si>
    <t>05/10/2020</t>
  </si>
  <si>
    <t>22/05/2020</t>
  </si>
  <si>
    <t>01/09/2021</t>
  </si>
  <si>
    <t>24/08/2022</t>
  </si>
  <si>
    <t>28/06/2023</t>
  </si>
  <si>
    <t>25/11/2020</t>
  </si>
  <si>
    <t>10/09/2021</t>
  </si>
  <si>
    <t>04/04/2020</t>
  </si>
  <si>
    <t>28/09/2021</t>
  </si>
  <si>
    <t>22/10/2020</t>
  </si>
  <si>
    <t>17/08/2021</t>
  </si>
  <si>
    <t>03/11/2020</t>
  </si>
  <si>
    <t>01/11/2023</t>
  </si>
  <si>
    <t>05/03/2021</t>
  </si>
  <si>
    <t>03/01/2022</t>
  </si>
  <si>
    <t>12/05/2023</t>
  </si>
  <si>
    <t>08/09/2022</t>
  </si>
  <si>
    <t>21/06/2023</t>
  </si>
  <si>
    <t>11/09/2023</t>
  </si>
  <si>
    <t>10/03/2023</t>
  </si>
  <si>
    <t>15/03/2020</t>
  </si>
  <si>
    <t>30/07/2021</t>
  </si>
  <si>
    <t>05/10/2021</t>
  </si>
  <si>
    <t>18/03/2022</t>
  </si>
  <si>
    <t>19/09/2019</t>
  </si>
  <si>
    <t>19/07/2021</t>
  </si>
  <si>
    <t>29/02/2020</t>
  </si>
  <si>
    <t>01/10/2020</t>
  </si>
  <si>
    <t>11/01/2024</t>
  </si>
  <si>
    <t>06/05/2022</t>
  </si>
  <si>
    <t>08/01/2024</t>
  </si>
  <si>
    <t>11/05/2022</t>
  </si>
  <si>
    <t>10/08/2020</t>
  </si>
  <si>
    <t>06/11/2019</t>
  </si>
  <si>
    <t>31/08/2023</t>
  </si>
  <si>
    <t>05/09/2022</t>
  </si>
  <si>
    <t>18/05/2021</t>
  </si>
  <si>
    <t>14/05/2021</t>
  </si>
  <si>
    <t>10/02/2020</t>
  </si>
  <si>
    <t>27/04/2023</t>
  </si>
  <si>
    <t>18/10/2023</t>
  </si>
  <si>
    <t>24/11/2023</t>
  </si>
  <si>
    <t>03/04/2014</t>
  </si>
  <si>
    <t>17/02/2023</t>
  </si>
  <si>
    <t>06/04/2021</t>
  </si>
  <si>
    <t>07/05/2020</t>
  </si>
  <si>
    <t>09/08/2016</t>
  </si>
  <si>
    <t>08/03/2022</t>
  </si>
  <si>
    <t>21/09/2023</t>
  </si>
  <si>
    <t>26/06/2023</t>
  </si>
  <si>
    <t>27/11/2023</t>
  </si>
  <si>
    <t>01/12/2021</t>
  </si>
  <si>
    <t>03/10/2022</t>
  </si>
  <si>
    <t>16/11/2019</t>
  </si>
  <si>
    <t>16/11/2022</t>
  </si>
  <si>
    <t>25/03/2023</t>
  </si>
  <si>
    <t>04/05/2020</t>
  </si>
  <si>
    <t>30/09/2015</t>
  </si>
  <si>
    <t>19/02/2021</t>
  </si>
  <si>
    <t>05/12/2022</t>
  </si>
  <si>
    <t>25/07/2023</t>
  </si>
  <si>
    <t>10/01/2024</t>
  </si>
  <si>
    <t>05/02/2016</t>
  </si>
  <si>
    <t>25/09/2021</t>
  </si>
  <si>
    <t>29/08/2022</t>
  </si>
  <si>
    <t>08/08/2021</t>
  </si>
  <si>
    <t>03/09/2019</t>
  </si>
  <si>
    <t>26/05/2021</t>
  </si>
  <si>
    <t>30/09/2023</t>
  </si>
  <si>
    <t>16/10/2023</t>
  </si>
  <si>
    <t>19/09/2022</t>
  </si>
  <si>
    <t>16/11/2020</t>
  </si>
  <si>
    <t>08/05/2020</t>
  </si>
  <si>
    <t>13/10/2020</t>
  </si>
  <si>
    <t>08/12/2020</t>
  </si>
  <si>
    <t>07/12/2022</t>
  </si>
  <si>
    <t>22/08/2022</t>
  </si>
  <si>
    <t>16/09/2021</t>
  </si>
  <si>
    <t>23/10/2022</t>
  </si>
  <si>
    <t>20/12/2022</t>
  </si>
  <si>
    <t>30/11/2015</t>
  </si>
  <si>
    <t>07/11/2019</t>
  </si>
  <si>
    <t>19/04/2023</t>
  </si>
  <si>
    <t>24/10/2023</t>
  </si>
  <si>
    <t>06/11/2020</t>
  </si>
  <si>
    <t>20/11/2020</t>
  </si>
  <si>
    <t>20/09/2019</t>
  </si>
  <si>
    <t>23/12/2023</t>
  </si>
  <si>
    <t>02/03/2021</t>
  </si>
  <si>
    <t>13/11/2020</t>
  </si>
  <si>
    <t>28/09/2020</t>
  </si>
  <si>
    <t>23/03/2023</t>
  </si>
  <si>
    <t>31/03/2021</t>
  </si>
  <si>
    <t>13/12/2022</t>
  </si>
  <si>
    <t>02/09/2020</t>
  </si>
  <si>
    <t>Ano</t>
  </si>
  <si>
    <t>Abr</t>
  </si>
  <si>
    <t>Jul</t>
  </si>
  <si>
    <t>Ago</t>
  </si>
  <si>
    <t>Set</t>
  </si>
  <si>
    <t>Out</t>
  </si>
  <si>
    <t>Nov</t>
  </si>
  <si>
    <t>Dez</t>
  </si>
  <si>
    <t>Demissões</t>
  </si>
  <si>
    <t>Mês saída</t>
  </si>
  <si>
    <t>Ano saída</t>
  </si>
  <si>
    <t>Mês entrada</t>
  </si>
  <si>
    <t>Ano entrada</t>
  </si>
  <si>
    <t>Meses</t>
  </si>
  <si>
    <t>nº de funcionários</t>
  </si>
  <si>
    <t>nº de admissões</t>
  </si>
  <si>
    <t>nº de demissões</t>
  </si>
  <si>
    <t>nº de demissões voluntárias</t>
  </si>
  <si>
    <t>%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</si>
  <si>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</si>
  <si>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</si>
  <si>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</si>
  <si>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</si>
  <si>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</si>
  <si>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</si>
  <si>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</si>
  <si>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</si>
  <si>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</si>
  <si>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</si>
  <si>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</si>
  <si>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</si>
  <si>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Turnover</t>
  </si>
  <si>
    <t xml:space="preserve"> nº de demissões</t>
  </si>
  <si>
    <t xml:space="preserve"> nº de admissões</t>
  </si>
  <si>
    <t xml:space="preserve"> nº de funcionários</t>
  </si>
  <si>
    <t xml:space="preserve"> nº de demissões voluntárias</t>
  </si>
  <si>
    <t xml:space="preserve"> Turnover</t>
  </si>
  <si>
    <t xml:space="preserve"> Admissão</t>
  </si>
  <si>
    <t>Funcionário 01</t>
  </si>
  <si>
    <t>Funcionário 02</t>
  </si>
  <si>
    <t>Funcionário 03</t>
  </si>
  <si>
    <t>Funcionário 04</t>
  </si>
  <si>
    <t>Funcionário 05</t>
  </si>
  <si>
    <t>Funcionário 06</t>
  </si>
  <si>
    <t>Funcionário 07</t>
  </si>
  <si>
    <t>Funcionário 08</t>
  </si>
  <si>
    <t>Funcionário 09</t>
  </si>
  <si>
    <t>Funcionário 10</t>
  </si>
  <si>
    <t>Funcionário 11</t>
  </si>
  <si>
    <t>Funcionário 12</t>
  </si>
  <si>
    <t>Funcionário 13</t>
  </si>
  <si>
    <t>Funcionário 14</t>
  </si>
  <si>
    <t>Funcionário 15</t>
  </si>
  <si>
    <t>Funcionário 16</t>
  </si>
  <si>
    <t>Funcionário 17</t>
  </si>
  <si>
    <t>Funcionário 18</t>
  </si>
  <si>
    <t>Funcionário 19</t>
  </si>
  <si>
    <t>Funcionário 20</t>
  </si>
  <si>
    <t>Funcionário 21</t>
  </si>
  <si>
    <t>Funcionário 22</t>
  </si>
  <si>
    <t>Funcionário 23</t>
  </si>
  <si>
    <t>Funcionário 24</t>
  </si>
  <si>
    <t>Funcionário 25</t>
  </si>
  <si>
    <t>Funcionário 26</t>
  </si>
  <si>
    <t>Funcionário 27</t>
  </si>
  <si>
    <t>Funcionário 28</t>
  </si>
  <si>
    <t>Funcionário 29</t>
  </si>
  <si>
    <t>Funcionário 30</t>
  </si>
  <si>
    <t>Funcionário 31</t>
  </si>
  <si>
    <t>Funcionário 32</t>
  </si>
  <si>
    <t>Funcionário 33</t>
  </si>
  <si>
    <t>Funcionário 34</t>
  </si>
  <si>
    <t>Funcionário 35</t>
  </si>
  <si>
    <t>Funcionário 36</t>
  </si>
  <si>
    <t>Funcionário 37</t>
  </si>
  <si>
    <t>Funcionário 38</t>
  </si>
  <si>
    <t>Funcionário 39</t>
  </si>
  <si>
    <t>Funcionário 40</t>
  </si>
  <si>
    <t>Funcionário 41</t>
  </si>
  <si>
    <t>Funcionário 42</t>
  </si>
  <si>
    <t>Funcionário 43</t>
  </si>
  <si>
    <t>Funcionário 44</t>
  </si>
  <si>
    <t>Funcionário 45</t>
  </si>
  <si>
    <t>Funcionário 46</t>
  </si>
  <si>
    <t>Funcionário 47</t>
  </si>
  <si>
    <t>Funcionário 48</t>
  </si>
  <si>
    <t>Funcionário 49</t>
  </si>
  <si>
    <t>Funcionário 50</t>
  </si>
  <si>
    <t>Funcionário 51</t>
  </si>
  <si>
    <t>Funcionário 52</t>
  </si>
  <si>
    <t>Funcionário 53</t>
  </si>
  <si>
    <t>Funcionário 54</t>
  </si>
  <si>
    <t>Funcionário 55</t>
  </si>
  <si>
    <t>Funcionário 56</t>
  </si>
  <si>
    <t>Funcionário 57</t>
  </si>
  <si>
    <t>Funcionário 58</t>
  </si>
  <si>
    <t>Funcionário 59</t>
  </si>
  <si>
    <t>Funcionário 60</t>
  </si>
  <si>
    <t>Funcionário 61</t>
  </si>
  <si>
    <t>Funcionário 62</t>
  </si>
  <si>
    <t>Funcionário 63</t>
  </si>
  <si>
    <t>Funcionário 64</t>
  </si>
  <si>
    <t>Funcionário 65</t>
  </si>
  <si>
    <t>Funcionário 66</t>
  </si>
  <si>
    <t>Funcionário 67</t>
  </si>
  <si>
    <t>Funcionário 68</t>
  </si>
  <si>
    <t>Funcionário 69</t>
  </si>
  <si>
    <t>Funcionário 70</t>
  </si>
  <si>
    <t>Funcionário 71</t>
  </si>
  <si>
    <t>Funcionário 72</t>
  </si>
  <si>
    <t>Funcionário 73</t>
  </si>
  <si>
    <t>Funcionário 74</t>
  </si>
  <si>
    <t>Funcionário 75</t>
  </si>
  <si>
    <t>Funcionário 76</t>
  </si>
  <si>
    <t>Funcionário 77</t>
  </si>
  <si>
    <t>Funcionário 78</t>
  </si>
  <si>
    <t>Funcionário 79</t>
  </si>
  <si>
    <t>Funcionário 80</t>
  </si>
  <si>
    <t>Funcionário 81</t>
  </si>
  <si>
    <t>Funcionário 82</t>
  </si>
  <si>
    <t>Funcionário 83</t>
  </si>
  <si>
    <t>Funcionário 84</t>
  </si>
  <si>
    <t>Funcionário 85</t>
  </si>
  <si>
    <t>Funcionário 86</t>
  </si>
  <si>
    <t>Funcionário 87</t>
  </si>
  <si>
    <t>Funcionário 88</t>
  </si>
  <si>
    <t>Funcionário 89</t>
  </si>
  <si>
    <t>Funcionário 90</t>
  </si>
  <si>
    <t>Funcionário 91</t>
  </si>
  <si>
    <t>Funcionário 92</t>
  </si>
  <si>
    <t>Funcionário 93</t>
  </si>
  <si>
    <t>Funcionário 94</t>
  </si>
  <si>
    <t>Funcionário 95</t>
  </si>
  <si>
    <t>Funcionário 96</t>
  </si>
  <si>
    <t>Funcionário 97</t>
  </si>
  <si>
    <t>Funcionário 98</t>
  </si>
  <si>
    <t>Funcionário 99</t>
  </si>
  <si>
    <t>Funcionário 100</t>
  </si>
  <si>
    <t>Funcionário 101</t>
  </si>
  <si>
    <t>Funcionário 102</t>
  </si>
  <si>
    <t>Funcionário 103</t>
  </si>
  <si>
    <t>Funcionário 104</t>
  </si>
  <si>
    <t>Funcionário 105</t>
  </si>
  <si>
    <t>Funcionário 106</t>
  </si>
  <si>
    <t>Funcionário 107</t>
  </si>
  <si>
    <t>Funcionário 108</t>
  </si>
  <si>
    <t>Funcionário 109</t>
  </si>
  <si>
    <t>Funcionário 110</t>
  </si>
  <si>
    <t>Funcionário 111</t>
  </si>
  <si>
    <t>Funcionário 112</t>
  </si>
  <si>
    <t>Funcionário 113</t>
  </si>
  <si>
    <t>Funcionário 114</t>
  </si>
  <si>
    <t>Funcionário 115</t>
  </si>
  <si>
    <t>Funcionário 116</t>
  </si>
  <si>
    <t>Funcionário 117</t>
  </si>
  <si>
    <t>Funcionário 118</t>
  </si>
  <si>
    <t>Funcionário 119</t>
  </si>
  <si>
    <t>Funcionário 120</t>
  </si>
  <si>
    <t>Funcionário 121</t>
  </si>
  <si>
    <t>Funcionário 122</t>
  </si>
  <si>
    <t>Funcionário 123</t>
  </si>
  <si>
    <t>Funcionário 124</t>
  </si>
  <si>
    <t>Funcionário 125</t>
  </si>
  <si>
    <t>Funcionário 126</t>
  </si>
  <si>
    <t>Funcionário 127</t>
  </si>
  <si>
    <t>Funcionário 128</t>
  </si>
  <si>
    <t>Funcionário 129</t>
  </si>
  <si>
    <t>Funcionário 130</t>
  </si>
  <si>
    <t>Funcionário 131</t>
  </si>
  <si>
    <t>Funcionário 132</t>
  </si>
  <si>
    <t>Funcionário 133</t>
  </si>
  <si>
    <t>Funcionário 134</t>
  </si>
  <si>
    <t>Funcionário 135</t>
  </si>
  <si>
    <t>Funcionário 136</t>
  </si>
  <si>
    <t>Funcionário 137</t>
  </si>
  <si>
    <t>Funcionário 138</t>
  </si>
  <si>
    <t>Funcionário 139</t>
  </si>
  <si>
    <t>Funcionário 140</t>
  </si>
  <si>
    <t>Funcionário 141</t>
  </si>
  <si>
    <t>Funcionário 142</t>
  </si>
  <si>
    <t>Funcionário 143</t>
  </si>
  <si>
    <t>Funcionário 144</t>
  </si>
  <si>
    <t>Funcionário 145</t>
  </si>
  <si>
    <t>Funcionário 146</t>
  </si>
  <si>
    <t>Funcionário 147</t>
  </si>
  <si>
    <t>Funcionário 148</t>
  </si>
  <si>
    <t>Funcionário 149</t>
  </si>
  <si>
    <t>Funcionário 150</t>
  </si>
  <si>
    <t>Funcionário 151</t>
  </si>
  <si>
    <t>Funcionário 152</t>
  </si>
  <si>
    <t>Funcionário 153</t>
  </si>
  <si>
    <t>Funcionário 154</t>
  </si>
  <si>
    <t>Funcionário 155</t>
  </si>
  <si>
    <t>Funcionário 156</t>
  </si>
  <si>
    <t>Funcionário 157</t>
  </si>
  <si>
    <t>Funcionário 158</t>
  </si>
  <si>
    <t>Funcionário 159</t>
  </si>
  <si>
    <t>Funcionário 160</t>
  </si>
  <si>
    <t>Funcionário 161</t>
  </si>
  <si>
    <t>Funcionário 162</t>
  </si>
  <si>
    <t>Funcionário 163</t>
  </si>
  <si>
    <t>Funcionário 164</t>
  </si>
  <si>
    <t>Funcionário 165</t>
  </si>
  <si>
    <t>Funcionário 166</t>
  </si>
  <si>
    <t>Funcionário 167</t>
  </si>
  <si>
    <t>Funcionário 168</t>
  </si>
  <si>
    <t>Funcionário 169</t>
  </si>
  <si>
    <t>Funcionário 170</t>
  </si>
  <si>
    <t>Funcionário 171</t>
  </si>
  <si>
    <t>Funcionário 172</t>
  </si>
  <si>
    <t>Funcionário 173</t>
  </si>
  <si>
    <t>Funcionário 174</t>
  </si>
  <si>
    <t>Funcionário 175</t>
  </si>
  <si>
    <t>Funcionário 176</t>
  </si>
  <si>
    <t>Funcionário 177</t>
  </si>
  <si>
    <t>Funcionário 178</t>
  </si>
  <si>
    <t>Funcionário 179</t>
  </si>
  <si>
    <t>Funcionário 180</t>
  </si>
  <si>
    <t>Funcionário 181</t>
  </si>
  <si>
    <t>Funcionário 182</t>
  </si>
  <si>
    <t>Funcionário 183</t>
  </si>
  <si>
    <t>Funcionário 184</t>
  </si>
  <si>
    <t>Funcionário 185</t>
  </si>
  <si>
    <t>Funcionário 186</t>
  </si>
  <si>
    <t>Funcionário 187</t>
  </si>
  <si>
    <t>Funcionário 188</t>
  </si>
  <si>
    <t>Funcionário 189</t>
  </si>
  <si>
    <t>Funcionário 190</t>
  </si>
  <si>
    <t>Funcionário 191</t>
  </si>
  <si>
    <t>Funcionário 192</t>
  </si>
  <si>
    <t>Funcionário 193</t>
  </si>
  <si>
    <t>Funcionário 194</t>
  </si>
  <si>
    <t>Funcionário 195</t>
  </si>
  <si>
    <t>Funcionário 196</t>
  </si>
  <si>
    <t>Funcionário 197</t>
  </si>
  <si>
    <t>Funcionário 198</t>
  </si>
  <si>
    <t>Funcionário 199</t>
  </si>
  <si>
    <t>Funcionário 200</t>
  </si>
  <si>
    <t>Funcionário 201</t>
  </si>
  <si>
    <t>Funcionário 202</t>
  </si>
  <si>
    <t>Funcionário 203</t>
  </si>
  <si>
    <t>Funcionário 204</t>
  </si>
  <si>
    <t>Funcionário 205</t>
  </si>
  <si>
    <t>Funcionário 206</t>
  </si>
  <si>
    <t>Funcionário 207</t>
  </si>
  <si>
    <t>Funcionário 208</t>
  </si>
  <si>
    <t>Funcionário 209</t>
  </si>
  <si>
    <t>Funcionário 210</t>
  </si>
  <si>
    <t>Funcionário 211</t>
  </si>
  <si>
    <t>Funcionário 212</t>
  </si>
  <si>
    <t>Funcionário 213</t>
  </si>
  <si>
    <t>Funcionário 214</t>
  </si>
  <si>
    <t>Funcionário 215</t>
  </si>
  <si>
    <t>Funcionário 216</t>
  </si>
  <si>
    <t>Funcionário 217</t>
  </si>
  <si>
    <t>Funcionário 218</t>
  </si>
  <si>
    <t>Funcionário 219</t>
  </si>
  <si>
    <t>Funcionário 220</t>
  </si>
  <si>
    <t>Funcionário 221</t>
  </si>
  <si>
    <t>Funcionário 222</t>
  </si>
  <si>
    <t>Funcionário 223</t>
  </si>
  <si>
    <t>Funcionário 224</t>
  </si>
  <si>
    <t>Funcionário 225</t>
  </si>
  <si>
    <t>Funcionário 226</t>
  </si>
  <si>
    <t>Funcionário 227</t>
  </si>
  <si>
    <t>Funcionário 228</t>
  </si>
  <si>
    <t>Funcionário 229</t>
  </si>
  <si>
    <t>Funcionário 230</t>
  </si>
  <si>
    <t>Funcionário 231</t>
  </si>
  <si>
    <t>Funcionário 232</t>
  </si>
  <si>
    <t>Funcionário 233</t>
  </si>
  <si>
    <t>Funcionário 234</t>
  </si>
  <si>
    <t>Funcionário 235</t>
  </si>
  <si>
    <t>Funcionário 236</t>
  </si>
  <si>
    <t>Funcionário 237</t>
  </si>
  <si>
    <t>Funcionário 238</t>
  </si>
  <si>
    <t>Funcionário 239</t>
  </si>
  <si>
    <t>Funcionário 240</t>
  </si>
  <si>
    <t>Funcionário 241</t>
  </si>
  <si>
    <t>Funcionário 242</t>
  </si>
  <si>
    <t>Funcionário 243</t>
  </si>
  <si>
    <t>Funcionário 244</t>
  </si>
  <si>
    <t>Funcionário 245</t>
  </si>
  <si>
    <t>Funcionário 246</t>
  </si>
  <si>
    <t>Funcionário 247</t>
  </si>
  <si>
    <t>Funcionário 248</t>
  </si>
  <si>
    <t>Funcionário 249</t>
  </si>
  <si>
    <t>Funcionário 250</t>
  </si>
  <si>
    <t>Funcionário 251</t>
  </si>
  <si>
    <t>Funcionário 252</t>
  </si>
  <si>
    <t>Funcionário 253</t>
  </si>
  <si>
    <t>Funcionário 254</t>
  </si>
  <si>
    <t>Funcionário 255</t>
  </si>
  <si>
    <t>Funcionário 256</t>
  </si>
  <si>
    <t>Funcionário 257</t>
  </si>
  <si>
    <t>Funcionário 258</t>
  </si>
  <si>
    <t>Funcionário 259</t>
  </si>
  <si>
    <t>Funcionário 260</t>
  </si>
  <si>
    <t>Funcionário 261</t>
  </si>
  <si>
    <t>Funcionário 262</t>
  </si>
  <si>
    <t>Funcionário 263</t>
  </si>
  <si>
    <t>Funcionário 264</t>
  </si>
  <si>
    <t>Funcionário 265</t>
  </si>
  <si>
    <t>Funcionário 266</t>
  </si>
  <si>
    <t>Funcionário 267</t>
  </si>
  <si>
    <t>Funcionário 268</t>
  </si>
  <si>
    <t>Funcionário 269</t>
  </si>
  <si>
    <t>Funcionário 270</t>
  </si>
  <si>
    <t>Funcionário 271</t>
  </si>
  <si>
    <t>Funcionário 272</t>
  </si>
  <si>
    <t>Funcionário 273</t>
  </si>
  <si>
    <t>Funcionário 274</t>
  </si>
  <si>
    <t>Funcionário 275</t>
  </si>
  <si>
    <t>Funcionário 276</t>
  </si>
  <si>
    <t>Funcionário 277</t>
  </si>
  <si>
    <t>Funcionário 278</t>
  </si>
  <si>
    <t>Funcionário 279</t>
  </si>
  <si>
    <t>Funcionário 280</t>
  </si>
  <si>
    <t>Funcionário 281</t>
  </si>
  <si>
    <t>Funcionário 282</t>
  </si>
  <si>
    <t>Funcionário 283</t>
  </si>
  <si>
    <t>Funcionário 284</t>
  </si>
  <si>
    <t>Funcionário 285</t>
  </si>
  <si>
    <t>Funcionário 286</t>
  </si>
  <si>
    <t>Funcionário 287</t>
  </si>
  <si>
    <t>Funcionário 288</t>
  </si>
  <si>
    <t>Funcionário 289</t>
  </si>
  <si>
    <t>Funcionário 290</t>
  </si>
  <si>
    <t>Funcionário 291</t>
  </si>
  <si>
    <t>Funcionário 292</t>
  </si>
  <si>
    <t>Funcionário 293</t>
  </si>
  <si>
    <t>Funcionário 294</t>
  </si>
  <si>
    <t>Funcionário 295</t>
  </si>
  <si>
    <t>Funcionário 296</t>
  </si>
  <si>
    <t>Funcionário 297</t>
  </si>
  <si>
    <t>Funcionário 298</t>
  </si>
  <si>
    <t>Funcionário 299</t>
  </si>
  <si>
    <t>Funcionário 300</t>
  </si>
  <si>
    <t>Funcionário 301</t>
  </si>
  <si>
    <t>Funcionário 302</t>
  </si>
  <si>
    <t>Funcionário 303</t>
  </si>
  <si>
    <t>Funcionário 304</t>
  </si>
  <si>
    <t>Funcionário 305</t>
  </si>
  <si>
    <t>Funcionário 306</t>
  </si>
  <si>
    <t>Funcionário 307</t>
  </si>
  <si>
    <t>Funcionário 308</t>
  </si>
  <si>
    <t>Funcionário 309</t>
  </si>
  <si>
    <t>Funcionário 310</t>
  </si>
  <si>
    <t>Funcionário 311</t>
  </si>
  <si>
    <t>Funcionário 312</t>
  </si>
  <si>
    <t>Funcionário 313</t>
  </si>
  <si>
    <t>Funcionário 314</t>
  </si>
  <si>
    <t>Funcionário 315</t>
  </si>
  <si>
    <t>Funcionário 316</t>
  </si>
  <si>
    <t>Funcionário 317</t>
  </si>
  <si>
    <t>Funcionário 318</t>
  </si>
  <si>
    <t>Funcionário 319</t>
  </si>
  <si>
    <t>Funcionário 320</t>
  </si>
  <si>
    <t>Funcionário 321</t>
  </si>
  <si>
    <t>Funcionário 322</t>
  </si>
  <si>
    <t>Funcionário 323</t>
  </si>
  <si>
    <t>Funcionário 324</t>
  </si>
  <si>
    <t>Funcionário 325</t>
  </si>
  <si>
    <t>Funcionário 326</t>
  </si>
  <si>
    <t>Funcionário 327</t>
  </si>
  <si>
    <t>Funcionário 328</t>
  </si>
  <si>
    <t>Funcionário 329</t>
  </si>
  <si>
    <t>Funcionário 330</t>
  </si>
  <si>
    <t>Funcionário 331</t>
  </si>
  <si>
    <t>Funcionário 332</t>
  </si>
  <si>
    <t>Funcionário 333</t>
  </si>
  <si>
    <t>Funcionário 334</t>
  </si>
  <si>
    <t>Funcionário 335</t>
  </si>
  <si>
    <t>Funcionário 336</t>
  </si>
  <si>
    <t>Funcionário 337</t>
  </si>
  <si>
    <t>Funcionário 338</t>
  </si>
  <si>
    <t>Funcionário 339</t>
  </si>
  <si>
    <t>Funcionário 340</t>
  </si>
  <si>
    <t>Funcionário 341</t>
  </si>
  <si>
    <t>Funcionário 342</t>
  </si>
  <si>
    <t>Funcionário 343</t>
  </si>
  <si>
    <t>Funcionário 344</t>
  </si>
  <si>
    <t>Funcionário 345</t>
  </si>
  <si>
    <t>Funcionário 346</t>
  </si>
  <si>
    <t>Funcionário 347</t>
  </si>
  <si>
    <t>Funcionário 348</t>
  </si>
  <si>
    <t>Funcionário 349</t>
  </si>
  <si>
    <t>Funcionário 350</t>
  </si>
  <si>
    <t>Funcionário 351</t>
  </si>
  <si>
    <t>Funcionário 352</t>
  </si>
  <si>
    <t>Funcionário 353</t>
  </si>
  <si>
    <t>Funcionário 354</t>
  </si>
  <si>
    <t>Funcionário 355</t>
  </si>
  <si>
    <t>Funcionário 356</t>
  </si>
  <si>
    <t>Funcionário 357</t>
  </si>
  <si>
    <t>Funcionário 358</t>
  </si>
  <si>
    <t>Funcionário 359</t>
  </si>
  <si>
    <t>Funcionário 360</t>
  </si>
  <si>
    <t>Funcionário 361</t>
  </si>
  <si>
    <t>Funcionário 362</t>
  </si>
  <si>
    <t>Funcionário 363</t>
  </si>
  <si>
    <t>Funcionário 364</t>
  </si>
  <si>
    <t>Funcionário 365</t>
  </si>
  <si>
    <t>Funcionário 366</t>
  </si>
  <si>
    <t>Funcionário 367</t>
  </si>
  <si>
    <t>Funcionário 368</t>
  </si>
  <si>
    <t>Funcionário 369</t>
  </si>
  <si>
    <t>Funcionário 370</t>
  </si>
  <si>
    <t>Funcionário 371</t>
  </si>
  <si>
    <t>Funcionário 372</t>
  </si>
  <si>
    <t>Funcionário 373</t>
  </si>
  <si>
    <t>Funcionário 374</t>
  </si>
  <si>
    <t>Funcionário 375</t>
  </si>
  <si>
    <t>Funcionário 376</t>
  </si>
  <si>
    <t>Funcionário 377</t>
  </si>
  <si>
    <t>Funcionário 378</t>
  </si>
  <si>
    <t>Funcionário 379</t>
  </si>
  <si>
    <t>Funcionário 380</t>
  </si>
  <si>
    <t>Setor</t>
  </si>
  <si>
    <t>Situação</t>
  </si>
  <si>
    <t>Recursos humanos</t>
  </si>
  <si>
    <t>Vendas</t>
  </si>
  <si>
    <t>Logística</t>
  </si>
  <si>
    <t>TI</t>
  </si>
  <si>
    <t>Financeiro</t>
  </si>
  <si>
    <t xml:space="preserve">Produção </t>
  </si>
  <si>
    <t>Administrativo</t>
  </si>
  <si>
    <t>Comercial</t>
  </si>
  <si>
    <t>Estoque</t>
  </si>
  <si>
    <t>-</t>
  </si>
  <si>
    <t>ATIVO</t>
  </si>
  <si>
    <t>Jan</t>
  </si>
  <si>
    <t>2020</t>
  </si>
  <si>
    <t>Fev</t>
  </si>
  <si>
    <t>Mar</t>
  </si>
  <si>
    <t>Mai</t>
  </si>
  <si>
    <t>Jun</t>
  </si>
  <si>
    <t>2021</t>
  </si>
  <si>
    <t>2022</t>
  </si>
  <si>
    <t>2024</t>
  </si>
  <si>
    <t>2016</t>
  </si>
  <si>
    <t>2023</t>
  </si>
  <si>
    <t>2014</t>
  </si>
  <si>
    <t>2019</t>
  </si>
  <si>
    <t>2015</t>
  </si>
  <si>
    <t>2013</t>
  </si>
  <si>
    <t>2012</t>
  </si>
  <si>
    <t>Total</t>
  </si>
  <si>
    <t>Funcionario 381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</si>
</sst>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%"/>
  </numFmts>
  <fonts count="22" x14ac:knownFonts="1">
    <font>
      <sz val="10"/>
      <color rgb="FF000000"/>
      <name val="Arial"/>
      <family val="2"/>
    </font>
    <font>
      <sz val="11"/>
      <color theme="1"/>
      <name val="Aptos Narrow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sz val="18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rgb="FF000000"/>
      <name val="Arial"/>
      <family val="2"/>
    </font>
    <font>
      <sz val="8"/>
      <name val="Arial"/>
      <family val="2"/>
    </font>
    <font>
      <b/>
      <sz val="10"/>
      <color theme="0"/>
      <name val="Arial"/>
      <family val="2"/>
    </font>
    <font>
      <b/>
      <sz val="10"/>
      <color rgb="FF000000"/>
      <name val="Open Sans"/>
      <family val="2"/>
    </font>
    <font>
      <sz val="11"/>
      <color theme="0"/>
      <name val="Aptos Narrow"/>
      <family val="2"/>
      <scheme val="minor"/>
    </font>
    <font>
      <b/>
      <sz val="14"/>
      <color rgb="FF000000"/>
      <name val="Calibri"/>
      <family val="2"/>
    </font>
    <font>
      <sz val="10"/>
      <color theme="1" tint="0.1499984740745262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theme="0" tint="-4.9989318521683403E-2"/>
        <bgColor indexed="64"/>
      </patternFill>
    </fill>
    <fill>
      <gradientFill degree="90">
        <stop position="0">
          <color rgb="FFFB872B"/>
        </stop>
        <stop position="1">
          <color rgb="FFFB872B"/>
        </stop>
      </gradientFill>
    </fill>
    <fill>
      <patternFill patternType="solid">
        <fgColor rgb="FFFFFFB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auto="1"/>
      </patternFill>
    </fill>
    <fill>
      <patternFill patternType="solid">
        <fgColor rgb="FF34495E"/>
        <bgColor indexed="64"/>
      </patternFill>
    </fill>
    <fill>
      <patternFill patternType="solid">
        <fgColor rgb="FF3498DB"/>
        <bgColor indexed="64"/>
      </patternFill>
    </fill>
  </fills>
  <borders count="1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ck">
        <color rgb="FF00B0F0"/>
      </bottom>
      <diagonal/>
    </border>
  </borders>
  <cellStyleXfs count="21">
    <xf numFmtId="0" fontId="0" fillId="0" borderId="0">
      <alignment vertical="top"/>
      <protection locked="0"/>
    </xf>
    <xf numFmtId="0" fontId="3" fillId="0" borderId="0">
      <alignment vertical="top"/>
      <protection locked="0"/>
    </xf>
    <xf numFmtId="0" fontId="4" fillId="2" borderId="0">
      <alignment vertical="top"/>
      <protection locked="0"/>
    </xf>
    <xf numFmtId="0" fontId="4" fillId="3" borderId="0">
      <alignment vertical="top"/>
      <protection locked="0"/>
    </xf>
    <xf numFmtId="0" fontId="3" fillId="4" borderId="0">
      <alignment vertical="top"/>
      <protection locked="0"/>
    </xf>
    <xf numFmtId="0" fontId="5" fillId="5" borderId="0">
      <alignment vertical="top"/>
      <protection locked="0"/>
    </xf>
    <xf numFmtId="0" fontId="6" fillId="6" borderId="0">
      <alignment vertical="top"/>
      <protection locked="0"/>
    </xf>
    <xf numFmtId="0" fontId="7" fillId="0" borderId="0">
      <alignment vertical="top"/>
      <protection locked="0"/>
    </xf>
    <xf numFmtId="0" fontId="8" fillId="7" borderId="0">
      <alignment vertical="top"/>
      <protection locked="0"/>
    </xf>
    <xf numFmtId="0" fontId="9" fillId="0" borderId="0">
      <alignment vertical="top"/>
      <protection locked="0"/>
    </xf>
    <xf numFmtId="0" fontId="10" fillId="0" borderId="0">
      <alignment vertical="top"/>
      <protection locked="0"/>
    </xf>
    <xf numFmtId="0" fontId="11" fillId="0" borderId="0">
      <alignment vertical="top"/>
      <protection locked="0"/>
    </xf>
    <xf numFmtId="0" fontId="12" fillId="0" borderId="0">
      <alignment vertical="top"/>
      <protection locked="0"/>
    </xf>
    <xf numFmtId="0" fontId="13" fillId="8" borderId="0">
      <alignment vertical="top"/>
      <protection locked="0"/>
    </xf>
    <xf numFmtId="0" fontId="14" fillId="8" borderId="1">
      <alignment vertical="top"/>
      <protection locked="0"/>
    </xf>
    <xf numFmtId="0" fontId="15" fillId="0" borderId="0">
      <alignment vertical="top"/>
      <protection locked="0"/>
    </xf>
    <xf numFmtId="0" fontId="2" fillId="0" borderId="0">
      <alignment vertical="top"/>
      <protection locked="0"/>
    </xf>
    <xf numFmtId="0" fontId="2" fillId="0" borderId="0">
      <alignment vertical="top"/>
      <protection locked="0"/>
    </xf>
    <xf numFmtId="0" fontId="5" fillId="0" borderId="0">
      <alignment vertical="top"/>
      <protection locked="0"/>
    </xf>
    <xf numFmtId="9" fontId="2" fillId="0" borderId="0" applyFont="0" applyFill="0" applyBorder="0" applyAlignment="0" applyProtection="0"/>
    <xf numFmtId="0" fontId="1" fillId="0" borderId="0"/>
  </cellStyleXfs>
  <cellXfs count="56">
    <xf numFmtId="0" fontId="0" fillId="0" borderId="0" xfId="0">
      <alignment vertical="top"/>
      <protection locked="0"/>
    </xf>
    <xf numFmtId="0" fontId="3" fillId="0" borderId="0" xfId="0" applyFont="1" applyProtection="1">
      <alignment vertical="top"/>
    </xf>
    <xf numFmtId="0" fontId="0" fillId="0" borderId="0" xfId="0" applyProtection="1">
      <alignment vertical="top"/>
    </xf>
    <xf numFmtId="0" fontId="0" fillId="0" borderId="0" xfId="0" applyAlignment="1">
      <alignment horizontal="center" vertical="top"/>
      <protection locked="0"/>
    </xf>
    <xf numFmtId="0" fontId="3" fillId="0" borderId="0" xfId="0" applyFont="1" applyAlignment="1" applyProtection="1">
      <alignment horizontal="center" vertical="top"/>
    </xf>
    <xf numFmtId="0" fontId="0" fillId="0" borderId="0" xfId="0" applyAlignment="1" applyProtection="1">
      <alignment horizontal="center" vertical="top"/>
    </xf>
    <xf numFmtId="0" fontId="0" fillId="0" borderId="0" xfId="0" applyNumberFormat="1">
      <alignment vertical="top"/>
      <protection locked="0"/>
    </xf>
    <xf numFmtId="0" fontId="0" fillId="10" borderId="0" xfId="0" applyFill="1">
      <alignment vertical="top"/>
      <protection locked="0"/>
    </xf>
    <xf numFmtId="0" fontId="0" fillId="9" borderId="0" xfId="0" applyFill="1">
      <alignment vertical="top"/>
      <protection locked="0"/>
    </xf>
    <xf numFmtId="0" fontId="0" fillId="10" borderId="0" xfId="0" applyFill="1" applyAlignment="1">
      <alignment vertical="center"/>
      <protection locked="0"/>
    </xf>
    <xf numFmtId="0" fontId="0" fillId="0" borderId="0" xfId="0" applyAlignment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164" fontId="0" fillId="0" borderId="7" xfId="19" applyNumberFormat="1" applyFont="1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164" fontId="0" fillId="0" borderId="10" xfId="19" applyNumberFormat="1" applyFont="1" applyBorder="1" applyAlignment="1" applyProtection="1">
      <alignment horizontal="center" vertical="center"/>
    </xf>
    <xf numFmtId="0" fontId="0" fillId="0" borderId="0" xfId="0" applyAlignment="1" applyProtection="1">
      <alignment vertical="center"/>
    </xf>
    <xf numFmtId="0" fontId="0" fillId="0" borderId="0" xfId="0" applyAlignment="1">
      <alignment vertical="center"/>
      <protection locked="0"/>
    </xf>
    <xf numFmtId="0" fontId="0" fillId="0" borderId="0" xfId="0" applyAlignment="1" applyProtection="1">
      <alignment horizontal="center" vertical="center"/>
    </xf>
    <xf numFmtId="14" fontId="0" fillId="0" borderId="2" xfId="0" applyNumberFormat="1" applyBorder="1" applyAlignment="1" applyProtection="1">
      <alignment horizontal="center" vertical="center"/>
    </xf>
    <xf numFmtId="0" fontId="0" fillId="9" borderId="2" xfId="0" applyFill="1" applyBorder="1" applyAlignment="1" applyProtection="1">
      <alignment horizontal="center" vertical="center"/>
    </xf>
    <xf numFmtId="0" fontId="0" fillId="9" borderId="7" xfId="0" applyNumberFormat="1" applyFill="1" applyBorder="1" applyAlignment="1" applyProtection="1">
      <alignment horizontal="center" vertical="center"/>
    </xf>
    <xf numFmtId="14" fontId="0" fillId="0" borderId="9" xfId="0" applyNumberFormat="1" applyBorder="1" applyAlignment="1" applyProtection="1">
      <alignment horizontal="center" vertical="center"/>
    </xf>
    <xf numFmtId="0" fontId="0" fillId="9" borderId="9" xfId="0" applyFill="1" applyBorder="1" applyAlignment="1" applyProtection="1">
      <alignment horizontal="center" vertical="center"/>
    </xf>
    <xf numFmtId="0" fontId="0" fillId="9" borderId="10" xfId="0" applyNumberFormat="1" applyFill="1" applyBorder="1" applyAlignment="1" applyProtection="1">
      <alignment horizontal="center" vertical="center"/>
    </xf>
    <xf numFmtId="0" fontId="0" fillId="0" borderId="2" xfId="0" applyBorder="1" applyAlignment="1" applyProtection="1">
      <alignment vertical="center"/>
    </xf>
    <xf numFmtId="0" fontId="0" fillId="11" borderId="2" xfId="0" applyFill="1" applyBorder="1" applyAlignment="1" applyProtection="1">
      <alignment horizontal="center" vertical="center"/>
    </xf>
    <xf numFmtId="0" fontId="0" fillId="11" borderId="9" xfId="0" applyFill="1" applyBorder="1" applyAlignment="1" applyProtection="1">
      <alignment horizontal="center" vertical="center"/>
    </xf>
    <xf numFmtId="0" fontId="18" fillId="0" borderId="0" xfId="0" applyFont="1">
      <alignment vertical="top"/>
      <protection locked="0"/>
    </xf>
    <xf numFmtId="0" fontId="0" fillId="0" borderId="0" xfId="0" applyNumberFormat="1" applyAlignment="1">
      <alignment horizontal="center" vertical="center"/>
      <protection locked="0"/>
    </xf>
    <xf numFmtId="0" fontId="0" fillId="0" borderId="0" xfId="0" applyFont="1">
      <alignment vertical="top"/>
      <protection locked="0"/>
    </xf>
    <xf numFmtId="0" fontId="0" fillId="12" borderId="0" xfId="0" applyFill="1">
      <alignment vertical="top"/>
      <protection locked="0"/>
    </xf>
    <xf numFmtId="0" fontId="0" fillId="13" borderId="0" xfId="0" applyFill="1">
      <alignment vertical="top"/>
      <protection locked="0"/>
    </xf>
    <xf numFmtId="0" fontId="0" fillId="12" borderId="0" xfId="0" applyFill="1" applyAlignment="1">
      <alignment vertical="center"/>
      <protection locked="0"/>
    </xf>
    <xf numFmtId="0" fontId="0" fillId="13" borderId="0" xfId="0" applyFill="1" applyAlignment="1">
      <alignment vertical="center"/>
      <protection locked="0"/>
    </xf>
    <xf numFmtId="0" fontId="19" fillId="14" borderId="0" xfId="20" applyFont="1" applyFill="1"/>
    <xf numFmtId="0" fontId="19" fillId="14" borderId="0" xfId="20" applyFont="1" applyFill="1" applyAlignment="1">
      <alignment horizontal="center" vertical="center"/>
    </xf>
    <xf numFmtId="0" fontId="19" fillId="14" borderId="0" xfId="20" applyFont="1" applyFill="1" applyAlignment="1">
      <alignment horizontal="left" vertical="center"/>
    </xf>
    <xf numFmtId="0" fontId="19" fillId="15" borderId="0" xfId="20" applyFont="1" applyFill="1"/>
    <xf numFmtId="0" fontId="19" fillId="15" borderId="0" xfId="20" applyFont="1" applyFill="1" applyAlignment="1">
      <alignment horizontal="center" vertical="center"/>
    </xf>
    <xf numFmtId="0" fontId="19" fillId="15" borderId="0" xfId="20" applyFont="1" applyFill="1" applyAlignment="1">
      <alignment horizontal="left" vertical="center"/>
    </xf>
    <xf numFmtId="0" fontId="0" fillId="14" borderId="2" xfId="0" applyFill="1" applyBorder="1" applyAlignment="1" applyProtection="1">
      <alignment horizontal="center" vertical="center"/>
    </xf>
    <xf numFmtId="0" fontId="0" fillId="14" borderId="4" xfId="0" applyFill="1" applyBorder="1" applyAlignment="1" applyProtection="1">
      <alignment horizontal="center" vertical="center"/>
    </xf>
    <xf numFmtId="0" fontId="0" fillId="14" borderId="5" xfId="0" applyFill="1" applyBorder="1" applyAlignment="1" applyProtection="1">
      <alignment horizontal="center" vertical="center"/>
    </xf>
    <xf numFmtId="0" fontId="3" fillId="14" borderId="0" xfId="0" applyFont="1" applyFill="1" applyAlignment="1">
      <alignment horizontal="center" vertical="center"/>
      <protection locked="0"/>
    </xf>
    <xf numFmtId="0" fontId="17" fillId="14" borderId="0" xfId="0" applyFont="1" applyFill="1" applyAlignment="1">
      <alignment horizontal="center" vertical="center"/>
      <protection locked="0"/>
    </xf>
    <xf numFmtId="0" fontId="0" fillId="14" borderId="0" xfId="0" applyFill="1" applyAlignment="1">
      <alignment horizontal="center" vertical="center"/>
      <protection locked="0"/>
    </xf>
    <xf numFmtId="0" fontId="0" fillId="14" borderId="3" xfId="0" applyFill="1" applyBorder="1" applyAlignment="1" applyProtection="1">
      <alignment horizontal="center" vertical="center"/>
    </xf>
    <xf numFmtId="0" fontId="21" fillId="9" borderId="12" xfId="0" applyFont="1" applyFill="1" applyBorder="1" applyAlignment="1">
      <alignment horizontal="center" vertical="center"/>
      <protection locked="0"/>
    </xf>
    <xf numFmtId="0" fontId="0" fillId="0" borderId="11" xfId="0" applyBorder="1" applyAlignment="1">
      <alignment horizontal="center" vertical="center"/>
      <protection locked="0"/>
    </xf>
    <xf numFmtId="0" fontId="0" fillId="0" borderId="11" xfId="0" applyNumberFormat="1" applyBorder="1" applyAlignment="1">
      <alignment horizontal="center" vertical="center"/>
      <protection locked="0"/>
    </xf>
    <xf numFmtId="164" fontId="0" fillId="0" borderId="11" xfId="0" applyNumberFormat="1" applyBorder="1" applyAlignment="1">
      <alignment horizontal="center" vertical="center"/>
      <protection locked="0"/>
    </xf>
    <xf numFmtId="0" fontId="0" fillId="0" borderId="9" xfId="0" applyBorder="1" applyAlignment="1" applyProtection="1">
      <alignment vertical="center"/>
    </xf>
    <xf numFmtId="0" fontId="0" fillId="9" borderId="9" xfId="0" applyNumberFormat="1" applyFill="1" applyBorder="1" applyAlignment="1" applyProtection="1">
      <alignment horizontal="center" vertical="center"/>
    </xf>
    <xf numFmtId="0" fontId="0" fillId="11" borderId="9" xfId="0" applyNumberFormat="1" applyFill="1" applyBorder="1" applyAlignment="1" applyProtection="1">
      <alignment horizontal="center" vertical="center"/>
    </xf>
  </cellXfs>
  <cellStyles count="21">
    <cellStyle name="Accent" xfId="1" xr:uid="{00000000-0005-0000-0000-000000000000}"/>
    <cellStyle name="Accent 1" xfId="2" xr:uid="{00000000-0005-0000-0000-000001000000}"/>
    <cellStyle name="Accent 2" xfId="3" xr:uid="{00000000-0005-0000-0000-000002000000}"/>
    <cellStyle name="Accent 3" xfId="4" xr:uid="{00000000-0005-0000-0000-000003000000}"/>
    <cellStyle name="Bad" xfId="5" xr:uid="{00000000-0005-0000-0000-000004000000}"/>
    <cellStyle name="Error" xfId="6" xr:uid="{00000000-0005-0000-0000-000005000000}"/>
    <cellStyle name="Footnote" xfId="7" xr:uid="{00000000-0005-0000-0000-000006000000}"/>
    <cellStyle name="Good" xfId="8" xr:uid="{00000000-0005-0000-0000-000007000000}"/>
    <cellStyle name="Heading" xfId="9" xr:uid="{00000000-0005-0000-0000-000008000000}"/>
    <cellStyle name="Heading 1" xfId="10" xr:uid="{00000000-0005-0000-0000-000009000000}"/>
    <cellStyle name="Heading 2" xfId="11" xr:uid="{00000000-0005-0000-0000-00000A000000}"/>
    <cellStyle name="Hyperlink" xfId="12" xr:uid="{00000000-0005-0000-0000-00000B000000}"/>
    <cellStyle name="Neutral" xfId="13" xr:uid="{00000000-0005-0000-0000-00000C000000}"/>
    <cellStyle name="Normal" xfId="0" builtinId="0" customBuiltin="1"/>
    <cellStyle name="Normal 2" xfId="20" xr:uid="{C53FEB44-A177-4563-82EC-B4CBEBD1ED37}"/>
    <cellStyle name="Note" xfId="14" xr:uid="{00000000-0005-0000-0000-00000E000000}"/>
    <cellStyle name="Porcentagem" xfId="19" builtinId="5"/>
    <cellStyle name="Result" xfId="15" xr:uid="{00000000-0005-0000-0000-00000F000000}"/>
    <cellStyle name="Status" xfId="16" xr:uid="{00000000-0005-0000-0000-000010000000}"/>
    <cellStyle name="Text" xfId="17" xr:uid="{00000000-0005-0000-0000-000011000000}"/>
    <cellStyle name="Warning" xfId="18" xr:uid="{00000000-0005-0000-0000-000012000000}"/>
  </cellStyles>
  <dxfs count="309"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rgb="FF34495E"/>
        </patternFill>
      </fill>
    </dxf>
    <dxf>
      <fill>
        <patternFill patternType="solid">
          <bgColor rgb="FF34495E"/>
        </patternFill>
      </fill>
    </dxf>
    <dxf>
      <font>
        <color theme="0"/>
      </font>
    </dxf>
    <dxf>
      <font>
        <color theme="0"/>
      </font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theme="1" tint="0.14999847407452621"/>
      </font>
    </dxf>
    <dxf>
      <font>
        <color theme="1" tint="0.14999847407452621"/>
      </font>
    </dxf>
    <dxf>
      <border>
        <bottom style="thick">
          <color rgb="FF00B0F0"/>
        </bottom>
      </border>
    </dxf>
    <dxf>
      <border>
        <bottom style="thick">
          <color rgb="FF00B0F0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rgb="FF34495E"/>
        </patternFill>
      </fill>
    </dxf>
    <dxf>
      <fill>
        <patternFill patternType="solid">
          <bgColor rgb="FF34495E"/>
        </patternFill>
      </fill>
    </dxf>
    <dxf>
      <font>
        <color theme="0"/>
      </font>
    </dxf>
    <dxf>
      <font>
        <color theme="0"/>
      </font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theme="1" tint="0.14999847407452621"/>
      </font>
    </dxf>
    <dxf>
      <font>
        <color theme="1" tint="0.14999847407452621"/>
      </font>
    </dxf>
    <dxf>
      <border>
        <bottom style="thick">
          <color rgb="FF00B0F0"/>
        </bottom>
      </border>
    </dxf>
    <dxf>
      <border>
        <bottom style="thick">
          <color rgb="FF00B0F0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rgb="FF34495E"/>
        </patternFill>
      </fill>
    </dxf>
    <dxf>
      <fill>
        <patternFill patternType="solid">
          <bgColor rgb="FF34495E"/>
        </patternFill>
      </fill>
    </dxf>
    <dxf>
      <font>
        <color theme="0"/>
      </font>
    </dxf>
    <dxf>
      <font>
        <color theme="0"/>
      </font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theme="1" tint="0.14999847407452621"/>
      </font>
    </dxf>
    <dxf>
      <font>
        <color theme="1" tint="0.14999847407452621"/>
      </font>
    </dxf>
    <dxf>
      <border>
        <bottom style="thick">
          <color rgb="FF00B0F0"/>
        </bottom>
      </border>
    </dxf>
    <dxf>
      <border>
        <bottom style="thick">
          <color rgb="FF00B0F0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rgb="FF34495E"/>
        </patternFill>
      </fill>
    </dxf>
    <dxf>
      <fill>
        <patternFill patternType="solid">
          <bgColor rgb="FF34495E"/>
        </patternFill>
      </fill>
    </dxf>
    <dxf>
      <font>
        <color theme="0"/>
      </font>
    </dxf>
    <dxf>
      <font>
        <color theme="0"/>
      </font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theme="1" tint="0.14999847407452621"/>
      </font>
    </dxf>
    <dxf>
      <font>
        <color theme="1" tint="0.14999847407452621"/>
      </font>
    </dxf>
    <dxf>
      <border>
        <bottom style="thick">
          <color rgb="FF00B0F0"/>
        </bottom>
      </border>
    </dxf>
    <dxf>
      <border>
        <bottom style="thick">
          <color rgb="FF00B0F0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bottom style="thick">
          <color rgb="FF00B0F0"/>
        </bottom>
      </border>
    </dxf>
    <dxf>
      <border>
        <bottom style="thick">
          <color rgb="FF00B0F0"/>
        </bottom>
      </border>
    </dxf>
    <dxf>
      <font>
        <color theme="1" tint="0.14999847407452621"/>
      </font>
    </dxf>
    <dxf>
      <font>
        <color theme="1" tint="0.14999847407452621"/>
      </font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color theme="0"/>
      </font>
    </dxf>
    <dxf>
      <font>
        <color theme="0"/>
      </font>
    </dxf>
    <dxf>
      <fill>
        <patternFill patternType="solid">
          <bgColor rgb="FF34495E"/>
        </patternFill>
      </fill>
    </dxf>
    <dxf>
      <fill>
        <patternFill patternType="solid">
          <bgColor rgb="FF34495E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4" formatCode="0.0%"/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  <protection locked="1" hidden="0"/>
    </dxf>
    <dxf>
      <border>
        <top style="thin">
          <color theme="0" tint="-0.24994659260841701"/>
        </top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protection locked="1" hidden="0"/>
    </dxf>
    <dxf>
      <border>
        <bottom style="thin">
          <color theme="0" tint="-0.24994659260841701"/>
        </bottom>
      </border>
    </dxf>
    <dxf>
      <fill>
        <patternFill patternType="solid">
          <fgColor indexed="64"/>
          <bgColor rgb="FF34495E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  <protection locked="1" hidden="0"/>
    </dxf>
    <dxf>
      <fill>
        <patternFill>
          <bgColor rgb="FF34495E"/>
        </patternFill>
      </fill>
    </dxf>
    <dxf>
      <fill>
        <patternFill>
          <bgColor rgb="FF34495E"/>
        </patternFill>
      </fill>
    </dxf>
    <dxf>
      <fill>
        <patternFill>
          <bgColor rgb="FF34495E"/>
        </patternFill>
      </fill>
    </dxf>
    <dxf>
      <font>
        <b/>
      </font>
    </dxf>
    <dxf>
      <font>
        <b/>
      </font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rgb="FF403E8C"/>
        </patternFill>
      </fill>
    </dxf>
    <dxf>
      <fill>
        <patternFill patternType="solid">
          <bgColor rgb="FF403E8C"/>
        </patternFill>
      </fill>
    </dxf>
    <dxf>
      <fill>
        <patternFill patternType="solid">
          <bgColor rgb="FF403E8C"/>
        </patternFill>
      </fill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>
          <bgColor rgb="FF34495E"/>
        </patternFill>
      </fill>
    </dxf>
    <dxf>
      <fill>
        <patternFill>
          <bgColor rgb="FF34495E"/>
        </patternFill>
      </fill>
    </dxf>
    <dxf>
      <fill>
        <patternFill>
          <bgColor rgb="FF34495E"/>
        </patternFill>
      </fill>
    </dxf>
    <dxf>
      <font>
        <b/>
      </font>
    </dxf>
    <dxf>
      <font>
        <b/>
      </font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ill>
        <patternFill patternType="solid">
          <bgColor rgb="FF403E8C"/>
        </patternFill>
      </fill>
    </dxf>
    <dxf>
      <fill>
        <patternFill patternType="solid">
          <bgColor rgb="FF403E8C"/>
        </patternFill>
      </fill>
    </dxf>
    <dxf>
      <fill>
        <patternFill patternType="solid">
          <bgColor rgb="FF403E8C"/>
        </patternFill>
      </fill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>
          <bgColor rgb="FF34495E"/>
        </patternFill>
      </fill>
    </dxf>
    <dxf>
      <fill>
        <patternFill>
          <bgColor rgb="FF34495E"/>
        </patternFill>
      </fill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rgb="FF403E8C"/>
        </patternFill>
      </fill>
    </dxf>
    <dxf>
      <fill>
        <patternFill patternType="solid">
          <bgColor rgb="FF403E8C"/>
        </patternFill>
      </fill>
    </dxf>
    <dxf>
      <fill>
        <patternFill>
          <bgColor rgb="FF34495E"/>
        </patternFill>
      </fill>
    </dxf>
    <dxf>
      <fill>
        <patternFill>
          <bgColor rgb="FF34495E"/>
        </patternFill>
      </fill>
    </dxf>
    <dxf>
      <fill>
        <patternFill>
          <bgColor rgb="FF34495E"/>
        </patternFill>
      </fill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rgb="FF403E8C"/>
        </patternFill>
      </fill>
    </dxf>
    <dxf>
      <fill>
        <patternFill patternType="solid">
          <bgColor rgb="FF403E8C"/>
        </patternFill>
      </fill>
    </dxf>
    <dxf>
      <fill>
        <patternFill patternType="solid">
          <bgColor rgb="FF403E8C"/>
        </patternFill>
      </fill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  <protection locked="1" hidden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  <protection locked="1" hidden="0"/>
    </dxf>
    <dxf>
      <numFmt numFmtId="0" formatCode="General"/>
      <fill>
        <patternFill patternType="solid">
          <fgColor indexed="64"/>
          <bgColor rgb="FFFFFFB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  <protection locked="1" hidden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  <protection locked="1" hidden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  <protection locked="1" hidden="0"/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 style="thin">
          <color theme="0" tint="-0.24994659260841701"/>
        </horizontal>
      </border>
      <protection locked="1" hidden="0"/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  <protection locked="1" hidden="0"/>
    </dxf>
    <dxf>
      <alignment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 style="thin">
          <color theme="0" tint="-0.24994659260841701"/>
        </horizontal>
      </border>
      <protection locked="1" hidden="0"/>
    </dxf>
    <dxf>
      <border>
        <top style="thin">
          <color theme="0" tint="-0.24994659260841701"/>
        </top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vertical="center" textRotation="0" wrapText="0" indent="0" justifyLastLine="0" shrinkToFit="0" readingOrder="0"/>
    </dxf>
    <dxf>
      <border>
        <bottom style="thin">
          <color theme="0" tint="-0.24994659260841701"/>
        </bottom>
      </border>
    </dxf>
    <dxf>
      <fill>
        <patternFill patternType="solid">
          <fgColor indexed="64"/>
          <bgColor rgb="FF34495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/>
        <bottom/>
        <vertical style="thin">
          <color theme="0" tint="-0.24994659260841701"/>
        </vertical>
        <horizontal style="thin">
          <color theme="0" tint="-0.24994659260841701"/>
        </horizontal>
      </border>
      <protection locked="1" hidden="0"/>
    </dxf>
    <dxf>
      <font>
        <color theme="0"/>
      </font>
      <fill>
        <patternFill>
          <bgColor rgb="FF00B050"/>
        </patternFill>
      </fill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fill>
        <patternFill patternType="solid">
          <bgColor theme="0"/>
        </patternFill>
      </fill>
      <border>
        <left/>
        <right/>
        <top/>
        <bottom/>
        <vertical/>
        <horizontal/>
      </border>
    </dxf>
    <dxf>
      <border>
        <top style="thin">
          <color theme="4" tint="0.79998168889431442"/>
        </top>
        <bottom style="thin">
          <color theme="4" tint="0.79998168889431442"/>
        </bottom>
      </border>
    </dxf>
    <dxf>
      <border>
        <top style="thin">
          <color theme="4" tint="0.79998168889431442"/>
        </top>
        <bottom style="thin">
          <color theme="4" tint="0.79998168889431442"/>
        </bottom>
      </border>
    </dxf>
    <dxf>
      <fill>
        <patternFill patternType="solid">
          <fgColor theme="4" tint="0.79998168889431442"/>
          <bgColor theme="4" tint="0.79998168889431442"/>
        </patternFill>
      </fill>
      <border>
        <bottom style="thin">
          <color theme="4"/>
        </bottom>
      </border>
    </dxf>
    <dxf>
      <font>
        <color theme="0"/>
      </font>
      <fill>
        <patternFill patternType="solid">
          <fgColor theme="4" tint="0.39997558519241921"/>
          <bgColor theme="4" tint="0.39997558519241921"/>
        </patternFill>
      </fill>
      <border>
        <bottom style="thin">
          <color theme="4" tint="0.79998168889431442"/>
        </bottom>
        <horizontal style="thin">
          <color theme="4" tint="0.39997558519241921"/>
        </horizontal>
      </border>
    </dxf>
    <dxf>
      <border>
        <bottom style="thin">
          <color theme="4" tint="0.59999389629810485"/>
        </bottom>
      </border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0"/>
      </font>
      <fill>
        <patternFill patternType="solid">
          <fgColor theme="4" tint="0.39997558519241921"/>
          <bgColor theme="4" tint="0.39997558519241921"/>
        </patternFill>
      </fill>
    </dxf>
    <dxf>
      <font>
        <b/>
        <color theme="0"/>
      </font>
    </dxf>
    <dxf>
      <border>
        <left style="thin">
          <color theme="4" tint="-0.249977111117893"/>
        </left>
        <right style="thin">
          <color theme="4" tint="-0.249977111117893"/>
        </right>
      </border>
    </dxf>
    <dxf>
      <border>
        <top style="thin">
          <color theme="4" tint="-0.249977111117893"/>
        </top>
        <bottom style="thin">
          <color theme="4" tint="-0.249977111117893"/>
        </bottom>
        <horizontal style="thin">
          <color theme="4" tint="-0.249977111117893"/>
        </horizontal>
      </border>
    </dxf>
    <dxf>
      <font>
        <b/>
        <color theme="1"/>
      </font>
      <border>
        <top style="double">
          <color theme="4" tint="-0.249977111117893"/>
        </top>
      </border>
    </dxf>
    <dxf>
      <font>
        <color theme="0"/>
      </font>
      <fill>
        <patternFill patternType="solid">
          <fgColor theme="4" tint="-0.249977111117893"/>
          <bgColor theme="4" tint="-0.249977111117893"/>
        </patternFill>
      </fill>
      <border>
        <horizontal style="thin">
          <color theme="4" tint="-0.249977111117893"/>
        </horizontal>
      </border>
    </dxf>
    <dxf>
      <font>
        <color theme="1"/>
      </font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3" defaultTableStyle="TableStyleMedium2" defaultPivotStyle="PivotStyleLight16">
    <tableStyle name="PivotStyleMedium2 2" table="0" count="13" xr9:uid="{F570E279-890E-46BC-8124-A93B3FBD38F5}">
      <tableStyleElement type="wholeTable" dxfId="308"/>
      <tableStyleElement type="headerRow" dxfId="307"/>
      <tableStyleElement type="totalRow" dxfId="306"/>
      <tableStyleElement type="firstRowStripe" dxfId="305"/>
      <tableStyleElement type="firstColumnStripe" dxfId="304"/>
      <tableStyleElement type="firstHeaderCell" dxfId="303"/>
      <tableStyleElement type="firstSubtotalRow" dxfId="302"/>
      <tableStyleElement type="secondSubtotalRow" dxfId="301"/>
      <tableStyleElement type="firstColumnSubheading" dxfId="300"/>
      <tableStyleElement type="firstRowSubheading" dxfId="299"/>
      <tableStyleElement type="secondRowSubheading" dxfId="298"/>
      <tableStyleElement type="pageFieldLabels" dxfId="297"/>
      <tableStyleElement type="pageFieldValues" dxfId="296"/>
    </tableStyle>
    <tableStyle name="SlicerStyleDark1 2" pivot="0" table="0" count="10" xr9:uid="{9844484F-F180-48F5-8BB4-9C4C0E933528}">
      <tableStyleElement type="wholeTable" dxfId="295"/>
      <tableStyleElement type="headerRow" dxfId="294"/>
    </tableStyle>
    <tableStyle name="TableStyleLight8 2" pivot="0" count="9" xr9:uid="{FD24B108-88D6-4799-A67A-2998F9FB6F05}">
      <tableStyleElement type="wholeTable" dxfId="293"/>
      <tableStyleElement type="headerRow" dxfId="292"/>
      <tableStyleElement type="totalRow" dxfId="291"/>
      <tableStyleElement type="firstColumn" dxfId="290"/>
      <tableStyleElement type="lastColumn" dxfId="289"/>
      <tableStyleElement type="firstRowStripe" dxfId="288"/>
      <tableStyleElement type="secondRowStripe" dxfId="287"/>
      <tableStyleElement type="firstColumnStripe" dxfId="286"/>
      <tableStyleElement type="secondColumnStripe" dxfId="285"/>
    </tableStyle>
  </tableStyles>
  <colors>
    <mruColors>
      <color rgb="FF34495E"/>
      <color rgb="FF3498DB"/>
      <color rgb="FFFF6161"/>
      <color rgb="FFFB872B"/>
      <color rgb="FF403E8C"/>
      <color rgb="FFFFFFB9"/>
      <color rgb="FFD9E021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rgb="FF3498DB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Dark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7/relationships/slicerCache" Target="slicerCaches/slicerCache5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3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controle de Turnover 15.08.2024.xlsm]Dashboard!Tabela dinâmica16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rgbClr val="34495E"/>
                </a:solidFill>
                <a:latin typeface="+mn-lt"/>
                <a:ea typeface="+mn-ea"/>
                <a:cs typeface="+mn-cs"/>
              </a:defRPr>
            </a:pPr>
            <a:r>
              <a:rPr lang="pt-BR" sz="1400">
                <a:solidFill>
                  <a:srgbClr val="34495E"/>
                </a:solidFill>
              </a:rPr>
              <a:t>INDICADORES TURNOVER</a:t>
            </a:r>
          </a:p>
        </c:rich>
      </c:tx>
      <c:layout>
        <c:manualLayout>
          <c:xMode val="edge"/>
          <c:yMode val="edge"/>
          <c:x val="4.5808845219995741E-3"/>
          <c:y val="2.37079184447605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rgbClr val="34495E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3498DB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3449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616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31750" cap="rnd">
            <a:solidFill>
              <a:srgbClr val="C00000"/>
            </a:solidFill>
            <a:prstDash val="sysDot"/>
            <a:round/>
          </a:ln>
          <a:effectLst/>
        </c:spPr>
        <c:marker>
          <c:symbol val="circle"/>
          <c:size val="6"/>
          <c:spPr>
            <a:solidFill>
              <a:srgbClr val="34495E"/>
            </a:soli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Dashboard!$E$2</c:f>
              <c:strCache>
                <c:ptCount val="1"/>
                <c:pt idx="0">
                  <c:v> nº de funcionários</c:v>
                </c:pt>
              </c:strCache>
            </c:strRef>
          </c:tx>
          <c:spPr>
            <a:solidFill>
              <a:srgbClr val="3498D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Dashboard!$D$3:$D$14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Dashboard!$E$3:$E$14</c:f>
              <c:numCache>
                <c:formatCode>General</c:formatCode>
                <c:ptCount val="12"/>
                <c:pt idx="0">
                  <c:v>377</c:v>
                </c:pt>
                <c:pt idx="1">
                  <c:v>291</c:v>
                </c:pt>
                <c:pt idx="2">
                  <c:v>274</c:v>
                </c:pt>
                <c:pt idx="3">
                  <c:v>281</c:v>
                </c:pt>
                <c:pt idx="4">
                  <c:v>275</c:v>
                </c:pt>
                <c:pt idx="5">
                  <c:v>281</c:v>
                </c:pt>
                <c:pt idx="6">
                  <c:v>318</c:v>
                </c:pt>
                <c:pt idx="7">
                  <c:v>357</c:v>
                </c:pt>
                <c:pt idx="8">
                  <c:v>355</c:v>
                </c:pt>
                <c:pt idx="9">
                  <c:v>352</c:v>
                </c:pt>
                <c:pt idx="10">
                  <c:v>359</c:v>
                </c:pt>
                <c:pt idx="11">
                  <c:v>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B4-437D-A707-709873F83A8B}"/>
            </c:ext>
          </c:extLst>
        </c:ser>
        <c:ser>
          <c:idx val="1"/>
          <c:order val="1"/>
          <c:tx>
            <c:strRef>
              <c:f>Dashboard!$F$2</c:f>
              <c:strCache>
                <c:ptCount val="1"/>
                <c:pt idx="0">
                  <c:v> nº de admissões</c:v>
                </c:pt>
              </c:strCache>
            </c:strRef>
          </c:tx>
          <c:spPr>
            <a:solidFill>
              <a:srgbClr val="34495E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Dashboard!$D$3:$D$14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Dashboard!$F$3:$F$14</c:f>
              <c:numCache>
                <c:formatCode>General</c:formatCode>
                <c:ptCount val="12"/>
                <c:pt idx="0">
                  <c:v>15</c:v>
                </c:pt>
                <c:pt idx="1">
                  <c:v>16</c:v>
                </c:pt>
                <c:pt idx="2">
                  <c:v>12</c:v>
                </c:pt>
                <c:pt idx="3">
                  <c:v>40</c:v>
                </c:pt>
                <c:pt idx="4">
                  <c:v>37</c:v>
                </c:pt>
                <c:pt idx="5">
                  <c:v>15</c:v>
                </c:pt>
                <c:pt idx="6">
                  <c:v>51</c:v>
                </c:pt>
                <c:pt idx="7">
                  <c:v>55</c:v>
                </c:pt>
                <c:pt idx="8">
                  <c:v>31</c:v>
                </c:pt>
                <c:pt idx="9">
                  <c:v>23</c:v>
                </c:pt>
                <c:pt idx="10">
                  <c:v>28</c:v>
                </c:pt>
                <c:pt idx="11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B4-437D-A707-709873F83A8B}"/>
            </c:ext>
          </c:extLst>
        </c:ser>
        <c:ser>
          <c:idx val="2"/>
          <c:order val="2"/>
          <c:tx>
            <c:strRef>
              <c:f>Dashboard!$G$2</c:f>
              <c:strCache>
                <c:ptCount val="1"/>
                <c:pt idx="0">
                  <c:v> nº de demissões</c:v>
                </c:pt>
              </c:strCache>
            </c:strRef>
          </c:tx>
          <c:spPr>
            <a:solidFill>
              <a:srgbClr val="FF616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Dashboard!$D$3:$D$14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Dashboard!$G$3:$G$14</c:f>
              <c:numCache>
                <c:formatCode>General</c:formatCode>
                <c:ptCount val="12"/>
                <c:pt idx="0">
                  <c:v>29</c:v>
                </c:pt>
                <c:pt idx="1">
                  <c:v>29</c:v>
                </c:pt>
                <c:pt idx="2">
                  <c:v>29</c:v>
                </c:pt>
                <c:pt idx="3">
                  <c:v>33</c:v>
                </c:pt>
                <c:pt idx="4">
                  <c:v>43</c:v>
                </c:pt>
                <c:pt idx="5">
                  <c:v>9</c:v>
                </c:pt>
                <c:pt idx="6">
                  <c:v>14</c:v>
                </c:pt>
                <c:pt idx="7">
                  <c:v>16</c:v>
                </c:pt>
                <c:pt idx="8">
                  <c:v>33</c:v>
                </c:pt>
                <c:pt idx="9">
                  <c:v>26</c:v>
                </c:pt>
                <c:pt idx="10">
                  <c:v>21</c:v>
                </c:pt>
                <c:pt idx="11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B4-437D-A707-709873F83A8B}"/>
            </c:ext>
          </c:extLst>
        </c:ser>
        <c:ser>
          <c:idx val="3"/>
          <c:order val="3"/>
          <c:tx>
            <c:strRef>
              <c:f>Dashboard!$H$2</c:f>
              <c:strCache>
                <c:ptCount val="1"/>
                <c:pt idx="0">
                  <c:v> nº de demissões voluntárias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Dashboard!$D$3:$D$14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Dashboard!$H$3:$H$14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3-D5B4-437D-A707-709873F83A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6285840"/>
        <c:axId val="1968948783"/>
      </c:barChart>
      <c:lineChart>
        <c:grouping val="standard"/>
        <c:varyColors val="0"/>
        <c:ser>
          <c:idx val="4"/>
          <c:order val="4"/>
          <c:tx>
            <c:strRef>
              <c:f>Dashboard!$I$2</c:f>
              <c:strCache>
                <c:ptCount val="1"/>
                <c:pt idx="0">
                  <c:v> Turnover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circle"/>
            <c:size val="6"/>
            <c:spPr>
              <a:solidFill>
                <a:srgbClr val="34495E"/>
              </a:solidFill>
              <a:ln w="12700">
                <a:solidFill>
                  <a:schemeClr val="lt2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Dashboard!$D$3:$D$14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Dashboard!$I$3:$I$14</c:f>
              <c:numCache>
                <c:formatCode>0.0%</c:formatCode>
                <c:ptCount val="12"/>
                <c:pt idx="0">
                  <c:v>0.29551929721144926</c:v>
                </c:pt>
                <c:pt idx="1">
                  <c:v>0.31363310935903776</c:v>
                </c:pt>
                <c:pt idx="2">
                  <c:v>0.34465869715869712</c:v>
                </c:pt>
                <c:pt idx="3">
                  <c:v>0.95105858944368271</c:v>
                </c:pt>
                <c:pt idx="4">
                  <c:v>0.63513136169386164</c:v>
                </c:pt>
                <c:pt idx="5">
                  <c:v>0.16135848278705422</c:v>
                </c:pt>
                <c:pt idx="6">
                  <c:v>0.58428607908944985</c:v>
                </c:pt>
                <c:pt idx="7">
                  <c:v>0.61010495354394378</c:v>
                </c:pt>
                <c:pt idx="8">
                  <c:v>0.48694551477135661</c:v>
                </c:pt>
                <c:pt idx="9">
                  <c:v>0.32065957485200752</c:v>
                </c:pt>
                <c:pt idx="10">
                  <c:v>0.34401259170108922</c:v>
                </c:pt>
                <c:pt idx="11">
                  <c:v>0.41810403364751186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D5B4-437D-A707-709873F83A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6283440"/>
        <c:axId val="852958032"/>
      </c:lineChart>
      <c:catAx>
        <c:axId val="856285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68948783"/>
        <c:crosses val="autoZero"/>
        <c:auto val="1"/>
        <c:lblAlgn val="ctr"/>
        <c:lblOffset val="100"/>
        <c:noMultiLvlLbl val="0"/>
      </c:catAx>
      <c:valAx>
        <c:axId val="19689487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6285840"/>
        <c:crosses val="autoZero"/>
        <c:crossBetween val="between"/>
      </c:valAx>
      <c:valAx>
        <c:axId val="852958032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6283440"/>
        <c:crosses val="max"/>
        <c:crossBetween val="between"/>
      </c:valAx>
      <c:catAx>
        <c:axId val="8562834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529580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controle de Turnover 15.08.2024.xlsm]Dinamicas!Tabela dinâmica18</c:name>
    <c:fmtId val="7"/>
  </c:pivotSource>
  <c:chart>
    <c:autoTitleDeleted val="1"/>
    <c:pivotFmts>
      <c:pivotFmt>
        <c:idx val="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</c:pivotFmt>
      <c:pivotFmt>
        <c:idx val="51"/>
      </c:pivotFmt>
      <c:pivotFmt>
        <c:idx val="52"/>
        <c:spPr>
          <a:solidFill>
            <a:srgbClr val="3498DB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3498DB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4"/>
        <c:spPr>
          <a:solidFill>
            <a:srgbClr val="3498DB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5"/>
        <c:spPr>
          <a:solidFill>
            <a:srgbClr val="3498DB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6"/>
        <c:spPr>
          <a:solidFill>
            <a:srgbClr val="3498DB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7"/>
        <c:spPr>
          <a:solidFill>
            <a:srgbClr val="3498DB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8"/>
        <c:spPr>
          <a:solidFill>
            <a:srgbClr val="3498DB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9"/>
        <c:spPr>
          <a:solidFill>
            <a:srgbClr val="3498DB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0"/>
        <c:spPr>
          <a:solidFill>
            <a:srgbClr val="3498DB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1"/>
        <c:spPr>
          <a:solidFill>
            <a:srgbClr val="3498DB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9387548537642513"/>
          <c:y val="0.12613177711157347"/>
          <c:w val="0.67872391488939876"/>
          <c:h val="0.8395607246801886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Dinamicas!$M$10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498DB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B1B-4FB6-A05C-5DC61E4E42EB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B1B-4FB6-A05C-5DC61E4E42EB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8B1B-4FB6-A05C-5DC61E4E42EB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B1B-4FB6-A05C-5DC61E4E42EB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B1B-4FB6-A05C-5DC61E4E42EB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8B1B-4FB6-A05C-5DC61E4E42EB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8B1B-4FB6-A05C-5DC61E4E42EB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8B1B-4FB6-A05C-5DC61E4E42EB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8B1B-4FB6-A05C-5DC61E4E42EB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8B1B-4FB6-A05C-5DC61E4E42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8B1B-4FB6-A05C-5DC61E4E42E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Dinamicas!$K$11:$L$19</c:f>
              <c:multiLvlStrCache>
                <c:ptCount val="9"/>
                <c:lvl>
                  <c:pt idx="0">
                    <c:v>Administrativo</c:v>
                  </c:pt>
                  <c:pt idx="1">
                    <c:v>Vendas</c:v>
                  </c:pt>
                  <c:pt idx="2">
                    <c:v>Logística</c:v>
                  </c:pt>
                  <c:pt idx="3">
                    <c:v>Estoque</c:v>
                  </c:pt>
                  <c:pt idx="4">
                    <c:v>Comercial</c:v>
                  </c:pt>
                  <c:pt idx="5">
                    <c:v>Financeiro</c:v>
                  </c:pt>
                  <c:pt idx="6">
                    <c:v>TI</c:v>
                  </c:pt>
                  <c:pt idx="7">
                    <c:v>Recursos humanos</c:v>
                  </c:pt>
                  <c:pt idx="8">
                    <c:v>Produção </c:v>
                  </c:pt>
                </c:lvl>
                <c:lvl>
                  <c:pt idx="0">
                    <c:v>ATIVO</c:v>
                  </c:pt>
                </c:lvl>
              </c:multiLvlStrCache>
            </c:multiLvlStrRef>
          </c:cat>
          <c:val>
            <c:numRef>
              <c:f>Dinamicas!$M$11:$M$19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7</c:v>
                </c:pt>
                <c:pt idx="5">
                  <c:v>8</c:v>
                </c:pt>
                <c:pt idx="6">
                  <c:v>8</c:v>
                </c:pt>
                <c:pt idx="7">
                  <c:v>14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B1B-4FB6-A05C-5DC61E4E42E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480896064"/>
        <c:axId val="2013607824"/>
      </c:barChart>
      <c:catAx>
        <c:axId val="14808960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13607824"/>
        <c:crosses val="autoZero"/>
        <c:auto val="1"/>
        <c:lblAlgn val="ctr"/>
        <c:lblOffset val="100"/>
        <c:noMultiLvlLbl val="0"/>
      </c:catAx>
      <c:valAx>
        <c:axId val="20136078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80896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hyperlink" Target="#'Rela&#231;&#227;o de Funcion&#225;rios Gerais'!A1"/><Relationship Id="rId3" Type="http://schemas.openxmlformats.org/officeDocument/2006/relationships/image" Target="../media/image3.png"/><Relationship Id="rId7" Type="http://schemas.openxmlformats.org/officeDocument/2006/relationships/hyperlink" Target="#'Base de dados 02'!A1"/><Relationship Id="rId12" Type="http://schemas.openxmlformats.org/officeDocument/2006/relationships/image" Target="../media/image9.svg"/><Relationship Id="rId2" Type="http://schemas.openxmlformats.org/officeDocument/2006/relationships/image" Target="../media/image2.svg"/><Relationship Id="rId16" Type="http://schemas.openxmlformats.org/officeDocument/2006/relationships/image" Target="../media/image1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image" Target="../media/image8.png"/><Relationship Id="rId5" Type="http://schemas.openxmlformats.org/officeDocument/2006/relationships/hyperlink" Target="#Dash!A5"/><Relationship Id="rId15" Type="http://schemas.openxmlformats.org/officeDocument/2006/relationships/image" Target="../media/image11.svg"/><Relationship Id="rId10" Type="http://schemas.openxmlformats.org/officeDocument/2006/relationships/hyperlink" Target="#Dinamicas!A1"/><Relationship Id="rId4" Type="http://schemas.openxmlformats.org/officeDocument/2006/relationships/image" Target="../media/image4.svg"/><Relationship Id="rId9" Type="http://schemas.openxmlformats.org/officeDocument/2006/relationships/image" Target="../media/image7.svg"/><Relationship Id="rId14" Type="http://schemas.openxmlformats.org/officeDocument/2006/relationships/image" Target="../media/image10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hyperlink" Target="#'Rela&#231;&#227;o de Funcion&#225;rios Gerais'!A1"/><Relationship Id="rId18" Type="http://schemas.openxmlformats.org/officeDocument/2006/relationships/image" Target="../media/image14.svg"/><Relationship Id="rId3" Type="http://schemas.openxmlformats.org/officeDocument/2006/relationships/image" Target="../media/image3.png"/><Relationship Id="rId7" Type="http://schemas.openxmlformats.org/officeDocument/2006/relationships/hyperlink" Target="#'Base de dados 02'!A1"/><Relationship Id="rId12" Type="http://schemas.openxmlformats.org/officeDocument/2006/relationships/image" Target="../media/image9.svg"/><Relationship Id="rId17" Type="http://schemas.openxmlformats.org/officeDocument/2006/relationships/image" Target="../media/image13.png"/><Relationship Id="rId2" Type="http://schemas.openxmlformats.org/officeDocument/2006/relationships/image" Target="../media/image2.svg"/><Relationship Id="rId16" Type="http://schemas.openxmlformats.org/officeDocument/2006/relationships/image" Target="../media/image1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image" Target="../media/image8.png"/><Relationship Id="rId5" Type="http://schemas.openxmlformats.org/officeDocument/2006/relationships/hyperlink" Target="#Dash!A5"/><Relationship Id="rId15" Type="http://schemas.openxmlformats.org/officeDocument/2006/relationships/image" Target="../media/image11.svg"/><Relationship Id="rId10" Type="http://schemas.openxmlformats.org/officeDocument/2006/relationships/hyperlink" Target="#Dinamicas!A1"/><Relationship Id="rId4" Type="http://schemas.openxmlformats.org/officeDocument/2006/relationships/image" Target="../media/image4.svg"/><Relationship Id="rId9" Type="http://schemas.openxmlformats.org/officeDocument/2006/relationships/image" Target="../media/image7.svg"/><Relationship Id="rId14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hyperlink" Target="#'Rela&#231;&#227;o de Funcion&#225;rios Gerais'!A1"/><Relationship Id="rId3" Type="http://schemas.openxmlformats.org/officeDocument/2006/relationships/image" Target="../media/image3.png"/><Relationship Id="rId7" Type="http://schemas.openxmlformats.org/officeDocument/2006/relationships/hyperlink" Target="#'Base de dados 02'!A1"/><Relationship Id="rId12" Type="http://schemas.openxmlformats.org/officeDocument/2006/relationships/image" Target="../media/image9.svg"/><Relationship Id="rId2" Type="http://schemas.openxmlformats.org/officeDocument/2006/relationships/image" Target="../media/image2.svg"/><Relationship Id="rId16" Type="http://schemas.openxmlformats.org/officeDocument/2006/relationships/image" Target="../media/image1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image" Target="../media/image8.png"/><Relationship Id="rId5" Type="http://schemas.openxmlformats.org/officeDocument/2006/relationships/hyperlink" Target="#Dash!A5"/><Relationship Id="rId15" Type="http://schemas.openxmlformats.org/officeDocument/2006/relationships/image" Target="../media/image11.svg"/><Relationship Id="rId10" Type="http://schemas.openxmlformats.org/officeDocument/2006/relationships/hyperlink" Target="#Dinamicas!A1"/><Relationship Id="rId4" Type="http://schemas.openxmlformats.org/officeDocument/2006/relationships/image" Target="../media/image4.svg"/><Relationship Id="rId9" Type="http://schemas.openxmlformats.org/officeDocument/2006/relationships/image" Target="../media/image7.svg"/><Relationship Id="rId14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image" Target="../media/image8.png"/><Relationship Id="rId18" Type="http://schemas.openxmlformats.org/officeDocument/2006/relationships/image" Target="../media/image12.png"/><Relationship Id="rId3" Type="http://schemas.openxmlformats.org/officeDocument/2006/relationships/image" Target="../media/image1.png"/><Relationship Id="rId21" Type="http://schemas.openxmlformats.org/officeDocument/2006/relationships/image" Target="../media/image14.svg"/><Relationship Id="rId7" Type="http://schemas.openxmlformats.org/officeDocument/2006/relationships/hyperlink" Target="#Dash!A5"/><Relationship Id="rId12" Type="http://schemas.openxmlformats.org/officeDocument/2006/relationships/hyperlink" Target="#Dinamicas!A1"/><Relationship Id="rId17" Type="http://schemas.openxmlformats.org/officeDocument/2006/relationships/image" Target="../media/image11.svg"/><Relationship Id="rId2" Type="http://schemas.openxmlformats.org/officeDocument/2006/relationships/chart" Target="../charts/chart2.xml"/><Relationship Id="rId16" Type="http://schemas.openxmlformats.org/officeDocument/2006/relationships/image" Target="../media/image10.png"/><Relationship Id="rId20" Type="http://schemas.openxmlformats.org/officeDocument/2006/relationships/image" Target="../media/image13.png"/><Relationship Id="rId1" Type="http://schemas.openxmlformats.org/officeDocument/2006/relationships/chart" Target="../charts/chart1.xml"/><Relationship Id="rId6" Type="http://schemas.openxmlformats.org/officeDocument/2006/relationships/image" Target="../media/image4.svg"/><Relationship Id="rId11" Type="http://schemas.openxmlformats.org/officeDocument/2006/relationships/image" Target="../media/image7.svg"/><Relationship Id="rId5" Type="http://schemas.openxmlformats.org/officeDocument/2006/relationships/image" Target="../media/image3.png"/><Relationship Id="rId15" Type="http://schemas.openxmlformats.org/officeDocument/2006/relationships/hyperlink" Target="#'Rela&#231;&#227;o de Funcion&#225;rios Gerais'!A1"/><Relationship Id="rId10" Type="http://schemas.openxmlformats.org/officeDocument/2006/relationships/image" Target="../media/image6.png"/><Relationship Id="rId19" Type="http://schemas.openxmlformats.org/officeDocument/2006/relationships/image" Target="../media/image15.emf"/><Relationship Id="rId4" Type="http://schemas.openxmlformats.org/officeDocument/2006/relationships/image" Target="../media/image2.svg"/><Relationship Id="rId9" Type="http://schemas.openxmlformats.org/officeDocument/2006/relationships/hyperlink" Target="#'Base de dados 02'!A1"/><Relationship Id="rId14" Type="http://schemas.openxmlformats.org/officeDocument/2006/relationships/image" Target="../media/image9.sv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15935</xdr:col>
          <xdr:colOff>76200</xdr:colOff>
          <xdr:row>0</xdr:row>
          <xdr:rowOff>666750</xdr:rowOff>
        </xdr:from>
        <xdr:to>
          <xdr:col>15935</xdr:col>
          <xdr:colOff>76200</xdr:colOff>
          <xdr:row>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15935</xdr:col>
          <xdr:colOff>76200</xdr:colOff>
          <xdr:row>0</xdr:row>
          <xdr:rowOff>666750</xdr:rowOff>
        </xdr:from>
        <xdr:to>
          <xdr:col>15935</xdr:col>
          <xdr:colOff>76200</xdr:colOff>
          <xdr:row>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Minimizar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15935</xdr:col>
          <xdr:colOff>76200</xdr:colOff>
          <xdr:row>1</xdr:row>
          <xdr:rowOff>95250</xdr:rowOff>
        </xdr:from>
        <xdr:to>
          <xdr:col>15935</xdr:col>
          <xdr:colOff>76200</xdr:colOff>
          <xdr:row>1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15935</xdr:col>
          <xdr:colOff>76200</xdr:colOff>
          <xdr:row>1</xdr:row>
          <xdr:rowOff>95250</xdr:rowOff>
        </xdr:from>
        <xdr:to>
          <xdr:col>15935</xdr:col>
          <xdr:colOff>76200</xdr:colOff>
          <xdr:row>1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Minimizar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15935</xdr:col>
          <xdr:colOff>76200</xdr:colOff>
          <xdr:row>0</xdr:row>
          <xdr:rowOff>666750</xdr:rowOff>
        </xdr:from>
        <xdr:to>
          <xdr:col>15935</xdr:col>
          <xdr:colOff>76200</xdr:colOff>
          <xdr:row>1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15935</xdr:col>
          <xdr:colOff>76200</xdr:colOff>
          <xdr:row>0</xdr:row>
          <xdr:rowOff>666750</xdr:rowOff>
        </xdr:from>
        <xdr:to>
          <xdr:col>15935</xdr:col>
          <xdr:colOff>76200</xdr:colOff>
          <xdr:row>1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Minimizar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15935</xdr:col>
          <xdr:colOff>76200</xdr:colOff>
          <xdr:row>0</xdr:row>
          <xdr:rowOff>666750</xdr:rowOff>
        </xdr:from>
        <xdr:to>
          <xdr:col>15935</xdr:col>
          <xdr:colOff>76200</xdr:colOff>
          <xdr:row>1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15935</xdr:col>
          <xdr:colOff>76200</xdr:colOff>
          <xdr:row>0</xdr:row>
          <xdr:rowOff>666750</xdr:rowOff>
        </xdr:from>
        <xdr:to>
          <xdr:col>15935</xdr:col>
          <xdr:colOff>76200</xdr:colOff>
          <xdr:row>1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Minimizar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15935</xdr:col>
          <xdr:colOff>76200</xdr:colOff>
          <xdr:row>0</xdr:row>
          <xdr:rowOff>676275</xdr:rowOff>
        </xdr:from>
        <xdr:to>
          <xdr:col>15935</xdr:col>
          <xdr:colOff>76200</xdr:colOff>
          <xdr:row>1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15935</xdr:col>
          <xdr:colOff>76200</xdr:colOff>
          <xdr:row>0</xdr:row>
          <xdr:rowOff>676275</xdr:rowOff>
        </xdr:from>
        <xdr:to>
          <xdr:col>15935</xdr:col>
          <xdr:colOff>76200</xdr:colOff>
          <xdr:row>1</xdr:row>
          <xdr:rowOff>114300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Minimizar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15935</xdr:col>
          <xdr:colOff>76200</xdr:colOff>
          <xdr:row>1</xdr:row>
          <xdr:rowOff>95250</xdr:rowOff>
        </xdr:from>
        <xdr:to>
          <xdr:col>15935</xdr:col>
          <xdr:colOff>76200</xdr:colOff>
          <xdr:row>1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15935</xdr:col>
          <xdr:colOff>76200</xdr:colOff>
          <xdr:row>1</xdr:row>
          <xdr:rowOff>95250</xdr:rowOff>
        </xdr:from>
        <xdr:to>
          <xdr:col>15935</xdr:col>
          <xdr:colOff>76200</xdr:colOff>
          <xdr:row>1</xdr:row>
          <xdr:rowOff>123825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Minimizar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15935</xdr:col>
          <xdr:colOff>76200</xdr:colOff>
          <xdr:row>0</xdr:row>
          <xdr:rowOff>666750</xdr:rowOff>
        </xdr:from>
        <xdr:to>
          <xdr:col>15935</xdr:col>
          <xdr:colOff>76200</xdr:colOff>
          <xdr:row>1</xdr:row>
          <xdr:rowOff>114300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15935</xdr:col>
          <xdr:colOff>76200</xdr:colOff>
          <xdr:row>0</xdr:row>
          <xdr:rowOff>666750</xdr:rowOff>
        </xdr:from>
        <xdr:to>
          <xdr:col>15935</xdr:col>
          <xdr:colOff>76200</xdr:colOff>
          <xdr:row>1</xdr:row>
          <xdr:rowOff>114300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Minimizar tela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10</xdr:col>
      <xdr:colOff>1317632</xdr:colOff>
      <xdr:row>0</xdr:row>
      <xdr:rowOff>132292</xdr:rowOff>
    </xdr:from>
    <xdr:to>
      <xdr:col>11</xdr:col>
      <xdr:colOff>361437</xdr:colOff>
      <xdr:row>0</xdr:row>
      <xdr:rowOff>603150</xdr:rowOff>
    </xdr:to>
    <xdr:pic macro="[0]!lsLigarTelaCheia">
      <xdr:nvPicPr>
        <xdr:cNvPr id="2" name="Expandir" descr="Aumentar o zoom com preenchimento sólid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747382" y="132292"/>
          <a:ext cx="463030" cy="470858"/>
        </a:xfrm>
        <a:prstGeom prst="rect">
          <a:avLst/>
        </a:prstGeom>
      </xdr:spPr>
    </xdr:pic>
    <xdr:clientData/>
  </xdr:twoCellAnchor>
  <xdr:twoCellAnchor editAs="absolute">
    <xdr:from>
      <xdr:col>11</xdr:col>
      <xdr:colOff>627854</xdr:colOff>
      <xdr:row>0</xdr:row>
      <xdr:rowOff>141277</xdr:rowOff>
    </xdr:from>
    <xdr:to>
      <xdr:col>11</xdr:col>
      <xdr:colOff>1086988</xdr:colOff>
      <xdr:row>0</xdr:row>
      <xdr:rowOff>612871</xdr:rowOff>
    </xdr:to>
    <xdr:pic macro="[0]!lsDesligarTelaCheia">
      <xdr:nvPicPr>
        <xdr:cNvPr id="3" name="Reduzir" descr="Pince para ampliar com preenchimento sóli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476829" y="141277"/>
          <a:ext cx="459134" cy="471594"/>
        </a:xfrm>
        <a:prstGeom prst="rect">
          <a:avLst/>
        </a:prstGeom>
      </xdr:spPr>
    </xdr:pic>
    <xdr:clientData/>
  </xdr:twoCellAnchor>
  <xdr:twoCellAnchor editAs="absolute">
    <xdr:from>
      <xdr:col>11</xdr:col>
      <xdr:colOff>522781</xdr:colOff>
      <xdr:row>0</xdr:row>
      <xdr:rowOff>175424</xdr:rowOff>
    </xdr:from>
    <xdr:to>
      <xdr:col>11</xdr:col>
      <xdr:colOff>528172</xdr:colOff>
      <xdr:row>0</xdr:row>
      <xdr:rowOff>597758</xdr:rowOff>
    </xdr:to>
    <xdr:cxnSp macro="">
      <xdr:nvCxnSpPr>
        <xdr:cNvPr id="4" name="Separador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>
          <a:off x="11371756" y="175424"/>
          <a:ext cx="5391" cy="422334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449964</xdr:colOff>
      <xdr:row>0</xdr:row>
      <xdr:rowOff>9720</xdr:rowOff>
    </xdr:from>
    <xdr:to>
      <xdr:col>10</xdr:col>
      <xdr:colOff>1060925</xdr:colOff>
      <xdr:row>1</xdr:row>
      <xdr:rowOff>127000</xdr:rowOff>
    </xdr:to>
    <xdr:grpSp>
      <xdr:nvGrpSpPr>
        <xdr:cNvPr id="5" name="Menu 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8460489" y="9720"/>
          <a:ext cx="2030186" cy="822130"/>
          <a:chOff x="13330905" y="9720"/>
          <a:chExt cx="2025951" cy="826363"/>
        </a:xfrm>
      </xdr:grpSpPr>
      <xdr:sp macro="" textlink="">
        <xdr:nvSpPr>
          <xdr:cNvPr id="6" name="Retângulo 5" hidden="1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13330905" y="9720"/>
            <a:ext cx="2025951" cy="826363"/>
          </a:xfrm>
          <a:prstGeom prst="rect">
            <a:avLst/>
          </a:prstGeom>
          <a:solidFill>
            <a:srgbClr val="3498DB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" name="CaixaDeTexto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13989248" y="115689"/>
            <a:ext cx="1229569" cy="5828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 b="1">
                <a:solidFill>
                  <a:schemeClr val="bg1"/>
                </a:solidFill>
              </a:rPr>
              <a:t> Dashboard</a:t>
            </a:r>
          </a:p>
        </xdr:txBody>
      </xdr:sp>
      <xdr:pic>
        <xdr:nvPicPr>
          <xdr:cNvPr id="8" name="Imagem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555462" y="201585"/>
            <a:ext cx="421720" cy="42172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1273196</xdr:colOff>
      <xdr:row>0</xdr:row>
      <xdr:rowOff>0</xdr:rowOff>
    </xdr:from>
    <xdr:to>
      <xdr:col>9</xdr:col>
      <xdr:colOff>454046</xdr:colOff>
      <xdr:row>2</xdr:row>
      <xdr:rowOff>0</xdr:rowOff>
    </xdr:to>
    <xdr:grpSp>
      <xdr:nvGrpSpPr>
        <xdr:cNvPr id="9" name="Menu 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6445271" y="0"/>
          <a:ext cx="2019300" cy="838200"/>
          <a:chOff x="11319847" y="0"/>
          <a:chExt cx="2019256" cy="846039"/>
        </a:xfrm>
      </xdr:grpSpPr>
      <xdr:sp macro="" textlink="">
        <xdr:nvSpPr>
          <xdr:cNvPr id="10" name="Retângulo 9" hidden="1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11319847" y="0"/>
            <a:ext cx="2019256" cy="846039"/>
          </a:xfrm>
          <a:prstGeom prst="rect">
            <a:avLst/>
          </a:prstGeom>
          <a:solidFill>
            <a:srgbClr val="3498DB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11976014" y="105834"/>
            <a:ext cx="1225506" cy="582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 b="1">
                <a:solidFill>
                  <a:schemeClr val="bg1"/>
                </a:solidFill>
              </a:rPr>
              <a:t>Base de Dados</a:t>
            </a:r>
          </a:p>
        </xdr:txBody>
      </xdr:sp>
      <xdr:pic>
        <xdr:nvPicPr>
          <xdr:cNvPr id="12" name="Imagem 233" descr="Banco de dados com preenchimento sólido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11566343" y="168728"/>
            <a:ext cx="416747" cy="420654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667833</xdr:colOff>
      <xdr:row>0</xdr:row>
      <xdr:rowOff>0</xdr:rowOff>
    </xdr:from>
    <xdr:to>
      <xdr:col>7</xdr:col>
      <xdr:colOff>1273200</xdr:colOff>
      <xdr:row>2</xdr:row>
      <xdr:rowOff>0</xdr:rowOff>
    </xdr:to>
    <xdr:grpSp>
      <xdr:nvGrpSpPr>
        <xdr:cNvPr id="13" name="Menu 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4420683" y="0"/>
          <a:ext cx="2024592" cy="838200"/>
          <a:chOff x="9313333" y="0"/>
          <a:chExt cx="2017098" cy="846039"/>
        </a:xfrm>
      </xdr:grpSpPr>
      <xdr:sp macro="" textlink="">
        <xdr:nvSpPr>
          <xdr:cNvPr id="14" name="Retângulo 13" hidden="1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9313333" y="0"/>
            <a:ext cx="2017098" cy="846039"/>
          </a:xfrm>
          <a:prstGeom prst="rect">
            <a:avLst/>
          </a:prstGeom>
          <a:solidFill>
            <a:srgbClr val="3498DB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 txBox="1"/>
        </xdr:nvSpPr>
        <xdr:spPr>
          <a:xfrm>
            <a:off x="9989531" y="105834"/>
            <a:ext cx="1225508" cy="582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 b="1">
                <a:solidFill>
                  <a:schemeClr val="bg1"/>
                </a:solidFill>
              </a:rPr>
              <a:t>Dinâmicas</a:t>
            </a:r>
          </a:p>
        </xdr:txBody>
      </xdr:sp>
      <xdr:pic>
        <xdr:nvPicPr>
          <xdr:cNvPr id="16" name="Imagem 15" descr="Tabela com preenchimento sólido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9550309" y="178399"/>
            <a:ext cx="429419" cy="435045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75156</xdr:colOff>
      <xdr:row>0</xdr:row>
      <xdr:rowOff>0</xdr:rowOff>
    </xdr:from>
    <xdr:to>
      <xdr:col>6</xdr:col>
      <xdr:colOff>679464</xdr:colOff>
      <xdr:row>1</xdr:row>
      <xdr:rowOff>85725</xdr:rowOff>
    </xdr:to>
    <xdr:grpSp>
      <xdr:nvGrpSpPr>
        <xdr:cNvPr id="17" name="Menu 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2408781" y="0"/>
          <a:ext cx="2023533" cy="790575"/>
          <a:chOff x="3244850" y="0"/>
          <a:chExt cx="2022475" cy="790575"/>
        </a:xfrm>
        <a:solidFill>
          <a:srgbClr val="1ABC9C"/>
        </a:solidFill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3244850" y="0"/>
            <a:ext cx="2022475" cy="790575"/>
          </a:xfrm>
          <a:prstGeom prst="rect">
            <a:avLst/>
          </a:prstGeom>
          <a:solidFill>
            <a:srgbClr val="3498DB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3965449" y="120165"/>
            <a:ext cx="1291287" cy="5885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 b="1">
                <a:solidFill>
                  <a:schemeClr val="bg1"/>
                </a:solidFill>
              </a:rPr>
              <a:t>Funcionários</a:t>
            </a:r>
          </a:p>
        </xdr:txBody>
      </xdr:sp>
      <xdr:pic>
        <xdr:nvPicPr>
          <xdr:cNvPr id="20" name="Gráfico 241" descr="Crachá de funcionário com preenchimento sólido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3487516" y="153645"/>
            <a:ext cx="465265" cy="465508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596256</xdr:colOff>
      <xdr:row>0</xdr:row>
      <xdr:rowOff>19050</xdr:rowOff>
    </xdr:from>
    <xdr:to>
      <xdr:col>5</xdr:col>
      <xdr:colOff>55034</xdr:colOff>
      <xdr:row>0</xdr:row>
      <xdr:rowOff>675218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691506" y="19050"/>
          <a:ext cx="1697153" cy="6561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800" b="1">
              <a:solidFill>
                <a:schemeClr val="bg1"/>
              </a:solidFill>
            </a:rPr>
            <a:t>Controle de TURNOVER</a:t>
          </a:r>
        </a:p>
      </xdr:txBody>
    </xdr:sp>
    <xdr:clientData/>
  </xdr:twoCellAnchor>
  <xdr:twoCellAnchor editAs="absolute">
    <xdr:from>
      <xdr:col>4</xdr:col>
      <xdr:colOff>76200</xdr:colOff>
      <xdr:row>0</xdr:row>
      <xdr:rowOff>95250</xdr:rowOff>
    </xdr:from>
    <xdr:to>
      <xdr:col>4</xdr:col>
      <xdr:colOff>580200</xdr:colOff>
      <xdr:row>0</xdr:row>
      <xdr:rowOff>599250</xdr:rowOff>
    </xdr:to>
    <xdr:pic>
      <xdr:nvPicPr>
        <xdr:cNvPr id="22" name="Gráfic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1450" y="95250"/>
          <a:ext cx="504000" cy="504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45720</xdr:colOff>
      <xdr:row>3</xdr:row>
      <xdr:rowOff>0</xdr:rowOff>
    </xdr:from>
    <xdr:to>
      <xdr:col>1</xdr:col>
      <xdr:colOff>1390650</xdr:colOff>
      <xdr:row>24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Mês saída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saíd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720" y="1000125"/>
              <a:ext cx="1344930" cy="32480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53339</xdr:colOff>
      <xdr:row>25</xdr:row>
      <xdr:rowOff>45720</xdr:rowOff>
    </xdr:from>
    <xdr:to>
      <xdr:col>1</xdr:col>
      <xdr:colOff>1399739</xdr:colOff>
      <xdr:row>56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Ano saída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saíd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3339" y="4312920"/>
              <a:ext cx="1346400" cy="50977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5</xdr:col>
      <xdr:colOff>274321</xdr:colOff>
      <xdr:row>25</xdr:row>
      <xdr:rowOff>9525</xdr:rowOff>
    </xdr:from>
    <xdr:to>
      <xdr:col>5</xdr:col>
      <xdr:colOff>1619251</xdr:colOff>
      <xdr:row>56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no entrada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entrad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36746" y="4276725"/>
              <a:ext cx="1344930" cy="50482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5</xdr:col>
      <xdr:colOff>281939</xdr:colOff>
      <xdr:row>2</xdr:row>
      <xdr:rowOff>145090</xdr:rowOff>
    </xdr:from>
    <xdr:to>
      <xdr:col>5</xdr:col>
      <xdr:colOff>1611294</xdr:colOff>
      <xdr:row>24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Mês entrada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entrad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44364" y="983290"/>
              <a:ext cx="1329355" cy="327438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Minimizar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15942</xdr:col>
          <xdr:colOff>352425</xdr:colOff>
          <xdr:row>1</xdr:row>
          <xdr:rowOff>95250</xdr:rowOff>
        </xdr:from>
        <xdr:to>
          <xdr:col>15942</xdr:col>
          <xdr:colOff>352425</xdr:colOff>
          <xdr:row>1</xdr:row>
          <xdr:rowOff>123825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15942</xdr:col>
          <xdr:colOff>352425</xdr:colOff>
          <xdr:row>1</xdr:row>
          <xdr:rowOff>95250</xdr:rowOff>
        </xdr:from>
        <xdr:to>
          <xdr:col>15942</xdr:col>
          <xdr:colOff>352425</xdr:colOff>
          <xdr:row>1</xdr:row>
          <xdr:rowOff>123825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Minimizar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Minimizar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Minimizar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Minimizar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15942</xdr:col>
          <xdr:colOff>352425</xdr:colOff>
          <xdr:row>1</xdr:row>
          <xdr:rowOff>95250</xdr:rowOff>
        </xdr:from>
        <xdr:to>
          <xdr:col>15942</xdr:col>
          <xdr:colOff>352425</xdr:colOff>
          <xdr:row>1</xdr:row>
          <xdr:rowOff>123825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15942</xdr:col>
          <xdr:colOff>352425</xdr:colOff>
          <xdr:row>1</xdr:row>
          <xdr:rowOff>95250</xdr:rowOff>
        </xdr:from>
        <xdr:to>
          <xdr:col>15942</xdr:col>
          <xdr:colOff>352425</xdr:colOff>
          <xdr:row>1</xdr:row>
          <xdr:rowOff>123825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Minimizar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Minimizar tela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11</xdr:col>
      <xdr:colOff>536582</xdr:colOff>
      <xdr:row>0</xdr:row>
      <xdr:rowOff>132292</xdr:rowOff>
    </xdr:from>
    <xdr:to>
      <xdr:col>11</xdr:col>
      <xdr:colOff>999612</xdr:colOff>
      <xdr:row>0</xdr:row>
      <xdr:rowOff>603150</xdr:rowOff>
    </xdr:to>
    <xdr:pic macro="[0]!lsLigarTelaCheia">
      <xdr:nvPicPr>
        <xdr:cNvPr id="2" name="Expandir" descr="Aumentar o zoom com preenchimento sólid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747382" y="132292"/>
          <a:ext cx="463030" cy="470858"/>
        </a:xfrm>
        <a:prstGeom prst="rect">
          <a:avLst/>
        </a:prstGeom>
      </xdr:spPr>
    </xdr:pic>
    <xdr:clientData/>
  </xdr:twoCellAnchor>
  <xdr:twoCellAnchor editAs="absolute">
    <xdr:from>
      <xdr:col>12</xdr:col>
      <xdr:colOff>113504</xdr:colOff>
      <xdr:row>0</xdr:row>
      <xdr:rowOff>141277</xdr:rowOff>
    </xdr:from>
    <xdr:to>
      <xdr:col>12</xdr:col>
      <xdr:colOff>572638</xdr:colOff>
      <xdr:row>0</xdr:row>
      <xdr:rowOff>612871</xdr:rowOff>
    </xdr:to>
    <xdr:pic macro="[0]!lsDesligarTelaCheia">
      <xdr:nvPicPr>
        <xdr:cNvPr id="3" name="Reduzir" descr="Pince para ampliar com preenchimento sólid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476829" y="141277"/>
          <a:ext cx="459134" cy="471594"/>
        </a:xfrm>
        <a:prstGeom prst="rect">
          <a:avLst/>
        </a:prstGeom>
      </xdr:spPr>
    </xdr:pic>
    <xdr:clientData/>
  </xdr:twoCellAnchor>
  <xdr:twoCellAnchor editAs="absolute">
    <xdr:from>
      <xdr:col>12</xdr:col>
      <xdr:colOff>8431</xdr:colOff>
      <xdr:row>0</xdr:row>
      <xdr:rowOff>175424</xdr:rowOff>
    </xdr:from>
    <xdr:to>
      <xdr:col>12</xdr:col>
      <xdr:colOff>13822</xdr:colOff>
      <xdr:row>0</xdr:row>
      <xdr:rowOff>597758</xdr:rowOff>
    </xdr:to>
    <xdr:cxnSp macro="">
      <xdr:nvCxnSpPr>
        <xdr:cNvPr id="4" name="Separador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11371756" y="175424"/>
          <a:ext cx="5391" cy="422334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402339</xdr:colOff>
      <xdr:row>0</xdr:row>
      <xdr:rowOff>9720</xdr:rowOff>
    </xdr:from>
    <xdr:to>
      <xdr:col>11</xdr:col>
      <xdr:colOff>279875</xdr:colOff>
      <xdr:row>1</xdr:row>
      <xdr:rowOff>127000</xdr:rowOff>
    </xdr:to>
    <xdr:grpSp>
      <xdr:nvGrpSpPr>
        <xdr:cNvPr id="5" name="Menu 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460489" y="9720"/>
          <a:ext cx="2030186" cy="822130"/>
          <a:chOff x="13330905" y="9720"/>
          <a:chExt cx="2025951" cy="826363"/>
        </a:xfrm>
      </xdr:grpSpPr>
      <xdr:sp macro="" textlink="">
        <xdr:nvSpPr>
          <xdr:cNvPr id="6" name="Retângulo 5" hidden="1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13330905" y="9720"/>
            <a:ext cx="2025951" cy="826363"/>
          </a:xfrm>
          <a:prstGeom prst="rect">
            <a:avLst/>
          </a:prstGeom>
          <a:solidFill>
            <a:srgbClr val="3498DB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" name="CaixaDeTexto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 txBox="1"/>
        </xdr:nvSpPr>
        <xdr:spPr>
          <a:xfrm>
            <a:off x="13989248" y="115689"/>
            <a:ext cx="1229569" cy="5828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 b="1">
                <a:solidFill>
                  <a:schemeClr val="bg1"/>
                </a:solidFill>
              </a:rPr>
              <a:t> Dashboard</a:t>
            </a:r>
          </a:p>
        </xdr:txBody>
      </xdr:sp>
      <xdr:pic>
        <xdr:nvPicPr>
          <xdr:cNvPr id="12" name="Imagem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555462" y="201585"/>
            <a:ext cx="421720" cy="42172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615971</xdr:colOff>
      <xdr:row>0</xdr:row>
      <xdr:rowOff>0</xdr:rowOff>
    </xdr:from>
    <xdr:to>
      <xdr:col>8</xdr:col>
      <xdr:colOff>406421</xdr:colOff>
      <xdr:row>2</xdr:row>
      <xdr:rowOff>0</xdr:rowOff>
    </xdr:to>
    <xdr:grpSp>
      <xdr:nvGrpSpPr>
        <xdr:cNvPr id="13" name="Menu 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6445271" y="0"/>
          <a:ext cx="2019300" cy="838200"/>
          <a:chOff x="11319847" y="0"/>
          <a:chExt cx="2019256" cy="846039"/>
        </a:xfrm>
      </xdr:grpSpPr>
      <xdr:sp macro="" textlink="">
        <xdr:nvSpPr>
          <xdr:cNvPr id="14" name="Retângulo 13" hidden="1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11319847" y="0"/>
            <a:ext cx="2019256" cy="846039"/>
          </a:xfrm>
          <a:prstGeom prst="rect">
            <a:avLst/>
          </a:prstGeom>
          <a:solidFill>
            <a:srgbClr val="3498DB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1976014" y="105834"/>
            <a:ext cx="1225506" cy="582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 b="1">
                <a:solidFill>
                  <a:schemeClr val="bg1"/>
                </a:solidFill>
              </a:rPr>
              <a:t>Base de Dados</a:t>
            </a:r>
          </a:p>
        </xdr:txBody>
      </xdr:sp>
      <xdr:pic>
        <xdr:nvPicPr>
          <xdr:cNvPr id="16" name="Imagem 233" descr="Banco de dados com preenchimento sólido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11566343" y="168728"/>
            <a:ext cx="416747" cy="420654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258258</xdr:colOff>
      <xdr:row>0</xdr:row>
      <xdr:rowOff>0</xdr:rowOff>
    </xdr:from>
    <xdr:to>
      <xdr:col>6</xdr:col>
      <xdr:colOff>615975</xdr:colOff>
      <xdr:row>2</xdr:row>
      <xdr:rowOff>0</xdr:rowOff>
    </xdr:to>
    <xdr:grpSp>
      <xdr:nvGrpSpPr>
        <xdr:cNvPr id="17" name="Menu 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4420683" y="0"/>
          <a:ext cx="2024592" cy="838200"/>
          <a:chOff x="9313333" y="0"/>
          <a:chExt cx="2017098" cy="846039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>
            <a:off x="9313333" y="0"/>
            <a:ext cx="2017098" cy="846039"/>
          </a:xfrm>
          <a:prstGeom prst="rect">
            <a:avLst/>
          </a:prstGeom>
          <a:solidFill>
            <a:srgbClr val="3498DB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 txBox="1"/>
        </xdr:nvSpPr>
        <xdr:spPr>
          <a:xfrm>
            <a:off x="9989531" y="105834"/>
            <a:ext cx="1225508" cy="582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 b="1">
                <a:solidFill>
                  <a:schemeClr val="bg1"/>
                </a:solidFill>
              </a:rPr>
              <a:t>Dinâmicas</a:t>
            </a:r>
          </a:p>
        </xdr:txBody>
      </xdr:sp>
      <xdr:pic>
        <xdr:nvPicPr>
          <xdr:cNvPr id="20" name="Imagem 15" descr="Tabela com preenchimento sólido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9550309" y="178399"/>
            <a:ext cx="429419" cy="435045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894306</xdr:colOff>
      <xdr:row>0</xdr:row>
      <xdr:rowOff>0</xdr:rowOff>
    </xdr:from>
    <xdr:to>
      <xdr:col>5</xdr:col>
      <xdr:colOff>269889</xdr:colOff>
      <xdr:row>1</xdr:row>
      <xdr:rowOff>85725</xdr:rowOff>
    </xdr:to>
    <xdr:grpSp>
      <xdr:nvGrpSpPr>
        <xdr:cNvPr id="21" name="Menu 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pSpPr/>
      </xdr:nvGrpSpPr>
      <xdr:grpSpPr>
        <a:xfrm>
          <a:off x="2408781" y="0"/>
          <a:ext cx="2023533" cy="790575"/>
          <a:chOff x="3244850" y="0"/>
          <a:chExt cx="2022475" cy="790575"/>
        </a:xfrm>
        <a:solidFill>
          <a:srgbClr val="1ABC9C"/>
        </a:solidFill>
      </xdr:grpSpPr>
      <xdr:sp macro="" textlink="">
        <xdr:nvSpPr>
          <xdr:cNvPr id="22" name="Retângulo 21" hidden="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3244850" y="0"/>
            <a:ext cx="2022475" cy="790575"/>
          </a:xfrm>
          <a:prstGeom prst="rect">
            <a:avLst/>
          </a:prstGeom>
          <a:solidFill>
            <a:srgbClr val="3498DB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 txBox="1"/>
        </xdr:nvSpPr>
        <xdr:spPr>
          <a:xfrm>
            <a:off x="3965449" y="120165"/>
            <a:ext cx="1291287" cy="5885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 b="1">
                <a:solidFill>
                  <a:schemeClr val="bg1"/>
                </a:solidFill>
              </a:rPr>
              <a:t>Funcionários</a:t>
            </a:r>
          </a:p>
        </xdr:txBody>
      </xdr:sp>
      <xdr:pic>
        <xdr:nvPicPr>
          <xdr:cNvPr id="24" name="Gráfico 241" descr="Crachá de funcionário com preenchimento sólido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3487516" y="153645"/>
            <a:ext cx="465265" cy="46550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691506</xdr:colOff>
      <xdr:row>0</xdr:row>
      <xdr:rowOff>19050</xdr:rowOff>
    </xdr:from>
    <xdr:to>
      <xdr:col>2</xdr:col>
      <xdr:colOff>874184</xdr:colOff>
      <xdr:row>0</xdr:row>
      <xdr:rowOff>675218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>
          <a:off x="691506" y="19050"/>
          <a:ext cx="1697153" cy="6561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800" b="1">
              <a:solidFill>
                <a:schemeClr val="bg1"/>
              </a:solidFill>
            </a:rPr>
            <a:t>Controle de TURNOVER</a:t>
          </a:r>
        </a:p>
      </xdr:txBody>
    </xdr:sp>
    <xdr:clientData/>
  </xdr:twoCellAnchor>
  <xdr:twoCellAnchor editAs="absolute">
    <xdr:from>
      <xdr:col>1</xdr:col>
      <xdr:colOff>171450</xdr:colOff>
      <xdr:row>0</xdr:row>
      <xdr:rowOff>95250</xdr:rowOff>
    </xdr:from>
    <xdr:to>
      <xdr:col>1</xdr:col>
      <xdr:colOff>675450</xdr:colOff>
      <xdr:row>0</xdr:row>
      <xdr:rowOff>599250</xdr:rowOff>
    </xdr:to>
    <xdr:pic>
      <xdr:nvPicPr>
        <xdr:cNvPr id="26" name="Gráfico 21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1450" y="95250"/>
          <a:ext cx="504000" cy="50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142875</xdr:colOff>
      <xdr:row>0</xdr:row>
      <xdr:rowOff>152400</xdr:rowOff>
    </xdr:from>
    <xdr:to>
      <xdr:col>14</xdr:col>
      <xdr:colOff>0</xdr:colOff>
      <xdr:row>0</xdr:row>
      <xdr:rowOff>619125</xdr:rowOff>
    </xdr:to>
    <xdr:pic macro="[0]!atualizar1">
      <xdr:nvPicPr>
        <xdr:cNvPr id="27" name="Gráfico 26" descr="Repetir com preenchimento sólido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2115800" y="152400"/>
          <a:ext cx="466725" cy="466725"/>
        </a:xfrm>
        <a:prstGeom prst="rect">
          <a:avLst/>
        </a:prstGeom>
      </xdr:spPr>
    </xdr:pic>
    <xdr:clientData/>
  </xdr:twoCellAnchor>
  <xdr:twoCellAnchor editAs="absolute">
    <xdr:from>
      <xdr:col>13</xdr:col>
      <xdr:colOff>47625</xdr:colOff>
      <xdr:row>0</xdr:row>
      <xdr:rowOff>171450</xdr:rowOff>
    </xdr:from>
    <xdr:to>
      <xdr:col>13</xdr:col>
      <xdr:colOff>53016</xdr:colOff>
      <xdr:row>0</xdr:row>
      <xdr:rowOff>593784</xdr:rowOff>
    </xdr:to>
    <xdr:cxnSp macro="">
      <xdr:nvCxnSpPr>
        <xdr:cNvPr id="28" name="Separador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/>
      </xdr:nvCxnSpPr>
      <xdr:spPr>
        <a:xfrm>
          <a:off x="12020550" y="171450"/>
          <a:ext cx="5391" cy="422334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Minimizar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15937</xdr:col>
          <xdr:colOff>295275</xdr:colOff>
          <xdr:row>1</xdr:row>
          <xdr:rowOff>95250</xdr:rowOff>
        </xdr:from>
        <xdr:to>
          <xdr:col>15937</xdr:col>
          <xdr:colOff>295275</xdr:colOff>
          <xdr:row>1</xdr:row>
          <xdr:rowOff>123825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15937</xdr:col>
          <xdr:colOff>295275</xdr:colOff>
          <xdr:row>1</xdr:row>
          <xdr:rowOff>95250</xdr:rowOff>
        </xdr:from>
        <xdr:to>
          <xdr:col>15937</xdr:col>
          <xdr:colOff>295275</xdr:colOff>
          <xdr:row>1</xdr:row>
          <xdr:rowOff>123825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Minimizar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Minimizar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Minimizar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Minimizar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15937</xdr:col>
          <xdr:colOff>295275</xdr:colOff>
          <xdr:row>1</xdr:row>
          <xdr:rowOff>95250</xdr:rowOff>
        </xdr:from>
        <xdr:to>
          <xdr:col>15937</xdr:col>
          <xdr:colOff>295275</xdr:colOff>
          <xdr:row>1</xdr:row>
          <xdr:rowOff>123825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15937</xdr:col>
          <xdr:colOff>295275</xdr:colOff>
          <xdr:row>1</xdr:row>
          <xdr:rowOff>95250</xdr:rowOff>
        </xdr:from>
        <xdr:to>
          <xdr:col>15937</xdr:col>
          <xdr:colOff>295275</xdr:colOff>
          <xdr:row>1</xdr:row>
          <xdr:rowOff>123825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Minimizar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Minimizar tela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11</xdr:col>
      <xdr:colOff>1250957</xdr:colOff>
      <xdr:row>0</xdr:row>
      <xdr:rowOff>132292</xdr:rowOff>
    </xdr:from>
    <xdr:to>
      <xdr:col>12</xdr:col>
      <xdr:colOff>380487</xdr:colOff>
      <xdr:row>0</xdr:row>
      <xdr:rowOff>603150</xdr:rowOff>
    </xdr:to>
    <xdr:pic macro="[0]!lsLigarTelaCheia">
      <xdr:nvPicPr>
        <xdr:cNvPr id="2" name="Expandir" descr="Aumentar o zoom com preenchimento sólid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747382" y="132292"/>
          <a:ext cx="463030" cy="470858"/>
        </a:xfrm>
        <a:prstGeom prst="rect">
          <a:avLst/>
        </a:prstGeom>
      </xdr:spPr>
    </xdr:pic>
    <xdr:clientData/>
  </xdr:twoCellAnchor>
  <xdr:twoCellAnchor editAs="absolute">
    <xdr:from>
      <xdr:col>12</xdr:col>
      <xdr:colOff>646904</xdr:colOff>
      <xdr:row>0</xdr:row>
      <xdr:rowOff>141277</xdr:rowOff>
    </xdr:from>
    <xdr:to>
      <xdr:col>12</xdr:col>
      <xdr:colOff>1106038</xdr:colOff>
      <xdr:row>0</xdr:row>
      <xdr:rowOff>612871</xdr:rowOff>
    </xdr:to>
    <xdr:pic macro="[0]!lsDesligarTelaCheia">
      <xdr:nvPicPr>
        <xdr:cNvPr id="3" name="Reduzir" descr="Pince para ampliar com preenchimento sólido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476829" y="141277"/>
          <a:ext cx="459134" cy="471594"/>
        </a:xfrm>
        <a:prstGeom prst="rect">
          <a:avLst/>
        </a:prstGeom>
      </xdr:spPr>
    </xdr:pic>
    <xdr:clientData/>
  </xdr:twoCellAnchor>
  <xdr:twoCellAnchor editAs="absolute">
    <xdr:from>
      <xdr:col>12</xdr:col>
      <xdr:colOff>541831</xdr:colOff>
      <xdr:row>0</xdr:row>
      <xdr:rowOff>175424</xdr:rowOff>
    </xdr:from>
    <xdr:to>
      <xdr:col>12</xdr:col>
      <xdr:colOff>547222</xdr:colOff>
      <xdr:row>0</xdr:row>
      <xdr:rowOff>597758</xdr:rowOff>
    </xdr:to>
    <xdr:cxnSp macro="">
      <xdr:nvCxnSpPr>
        <xdr:cNvPr id="4" name="Separador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>
          <a:off x="11371756" y="175424"/>
          <a:ext cx="5391" cy="422334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383289</xdr:colOff>
      <xdr:row>0</xdr:row>
      <xdr:rowOff>9720</xdr:rowOff>
    </xdr:from>
    <xdr:to>
      <xdr:col>11</xdr:col>
      <xdr:colOff>994250</xdr:colOff>
      <xdr:row>1</xdr:row>
      <xdr:rowOff>127000</xdr:rowOff>
    </xdr:to>
    <xdr:grpSp>
      <xdr:nvGrpSpPr>
        <xdr:cNvPr id="5" name="Menu 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/>
      </xdr:nvGrpSpPr>
      <xdr:grpSpPr>
        <a:xfrm>
          <a:off x="8460489" y="9720"/>
          <a:ext cx="2030186" cy="822130"/>
          <a:chOff x="13330905" y="9720"/>
          <a:chExt cx="2025951" cy="826363"/>
        </a:xfrm>
      </xdr:grpSpPr>
      <xdr:sp macro="" textlink="">
        <xdr:nvSpPr>
          <xdr:cNvPr id="6" name="Retângulo 5" hidden="1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13330905" y="9720"/>
            <a:ext cx="2025951" cy="826363"/>
          </a:xfrm>
          <a:prstGeom prst="rect">
            <a:avLst/>
          </a:prstGeom>
          <a:solidFill>
            <a:srgbClr val="3498DB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" name="CaixaDeTexto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3989248" y="115689"/>
            <a:ext cx="1229569" cy="5828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 b="1">
                <a:solidFill>
                  <a:schemeClr val="bg1"/>
                </a:solidFill>
              </a:rPr>
              <a:t> Dashboard</a:t>
            </a:r>
          </a:p>
        </xdr:txBody>
      </xdr:sp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555462" y="201585"/>
            <a:ext cx="421720" cy="42172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158771</xdr:colOff>
      <xdr:row>0</xdr:row>
      <xdr:rowOff>0</xdr:rowOff>
    </xdr:from>
    <xdr:to>
      <xdr:col>10</xdr:col>
      <xdr:colOff>387371</xdr:colOff>
      <xdr:row>2</xdr:row>
      <xdr:rowOff>0</xdr:rowOff>
    </xdr:to>
    <xdr:grpSp>
      <xdr:nvGrpSpPr>
        <xdr:cNvPr id="40" name="Menu 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pSpPr/>
      </xdr:nvGrpSpPr>
      <xdr:grpSpPr>
        <a:xfrm>
          <a:off x="6445271" y="0"/>
          <a:ext cx="2019300" cy="838200"/>
          <a:chOff x="11319847" y="0"/>
          <a:chExt cx="2019256" cy="846039"/>
        </a:xfrm>
      </xdr:grpSpPr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SpPr/>
        </xdr:nvSpPr>
        <xdr:spPr>
          <a:xfrm>
            <a:off x="11319847" y="0"/>
            <a:ext cx="2019256" cy="846039"/>
          </a:xfrm>
          <a:prstGeom prst="rect">
            <a:avLst/>
          </a:prstGeom>
          <a:solidFill>
            <a:srgbClr val="3498DB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2" name="CaixaDeTexto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SpPr txBox="1"/>
        </xdr:nvSpPr>
        <xdr:spPr>
          <a:xfrm>
            <a:off x="11976014" y="105834"/>
            <a:ext cx="1225506" cy="582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 b="1">
                <a:solidFill>
                  <a:schemeClr val="bg1"/>
                </a:solidFill>
              </a:rPr>
              <a:t>Base de Dados</a:t>
            </a:r>
          </a:p>
        </xdr:txBody>
      </xdr:sp>
      <xdr:pic>
        <xdr:nvPicPr>
          <xdr:cNvPr id="43" name="Imagem 233" descr="Banco de dados com preenchimento sólido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11566343" y="168728"/>
            <a:ext cx="416747" cy="420654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1182183</xdr:colOff>
      <xdr:row>0</xdr:row>
      <xdr:rowOff>0</xdr:rowOff>
    </xdr:from>
    <xdr:to>
      <xdr:col>9</xdr:col>
      <xdr:colOff>158775</xdr:colOff>
      <xdr:row>2</xdr:row>
      <xdr:rowOff>0</xdr:rowOff>
    </xdr:to>
    <xdr:grpSp>
      <xdr:nvGrpSpPr>
        <xdr:cNvPr id="44" name="Menu 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GrpSpPr/>
      </xdr:nvGrpSpPr>
      <xdr:grpSpPr>
        <a:xfrm>
          <a:off x="4420683" y="0"/>
          <a:ext cx="2024592" cy="838200"/>
          <a:chOff x="9313333" y="0"/>
          <a:chExt cx="2017098" cy="846039"/>
        </a:xfrm>
      </xdr:grpSpPr>
      <xdr:sp macro="" textlink="">
        <xdr:nvSpPr>
          <xdr:cNvPr id="45" name="Retângulo 44" hidden="1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SpPr/>
        </xdr:nvSpPr>
        <xdr:spPr>
          <a:xfrm>
            <a:off x="9313333" y="0"/>
            <a:ext cx="2017098" cy="846039"/>
          </a:xfrm>
          <a:prstGeom prst="rect">
            <a:avLst/>
          </a:prstGeom>
          <a:solidFill>
            <a:srgbClr val="3498DB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6" name="CaixaDeTexto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SpPr txBox="1"/>
        </xdr:nvSpPr>
        <xdr:spPr>
          <a:xfrm>
            <a:off x="9989531" y="105834"/>
            <a:ext cx="1225508" cy="582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 b="1">
                <a:solidFill>
                  <a:schemeClr val="bg1"/>
                </a:solidFill>
              </a:rPr>
              <a:t>Dinâmicas</a:t>
            </a:r>
          </a:p>
        </xdr:txBody>
      </xdr:sp>
      <xdr:pic>
        <xdr:nvPicPr>
          <xdr:cNvPr id="47" name="Imagem 15" descr="Tabela com preenchimento sólido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9550309" y="178399"/>
            <a:ext cx="429419" cy="435045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694281</xdr:colOff>
      <xdr:row>0</xdr:row>
      <xdr:rowOff>0</xdr:rowOff>
    </xdr:from>
    <xdr:to>
      <xdr:col>7</xdr:col>
      <xdr:colOff>1193814</xdr:colOff>
      <xdr:row>1</xdr:row>
      <xdr:rowOff>85725</xdr:rowOff>
    </xdr:to>
    <xdr:grpSp>
      <xdr:nvGrpSpPr>
        <xdr:cNvPr id="48" name="Menu 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GrpSpPr/>
      </xdr:nvGrpSpPr>
      <xdr:grpSpPr>
        <a:xfrm>
          <a:off x="2408781" y="0"/>
          <a:ext cx="2023533" cy="790575"/>
          <a:chOff x="3244850" y="0"/>
          <a:chExt cx="2022475" cy="790575"/>
        </a:xfrm>
        <a:solidFill>
          <a:srgbClr val="1ABC9C"/>
        </a:solidFill>
      </xdr:grpSpPr>
      <xdr:sp macro="" textlink="">
        <xdr:nvSpPr>
          <xdr:cNvPr id="49" name="Retângulo 48" hidden="1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/>
        </xdr:nvSpPr>
        <xdr:spPr>
          <a:xfrm>
            <a:off x="3244850" y="0"/>
            <a:ext cx="2022475" cy="790575"/>
          </a:xfrm>
          <a:prstGeom prst="rect">
            <a:avLst/>
          </a:prstGeom>
          <a:solidFill>
            <a:srgbClr val="3498DB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0" name="CaixaDeTexto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3965449" y="120165"/>
            <a:ext cx="1291287" cy="5885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 b="1">
                <a:solidFill>
                  <a:schemeClr val="bg1"/>
                </a:solidFill>
              </a:rPr>
              <a:t>Funcionários</a:t>
            </a:r>
          </a:p>
        </xdr:txBody>
      </xdr:sp>
      <xdr:pic>
        <xdr:nvPicPr>
          <xdr:cNvPr id="51" name="Gráfico 241" descr="Crachá de funcionário com preenchimento sólido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3487516" y="153645"/>
            <a:ext cx="465265" cy="465508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596256</xdr:colOff>
      <xdr:row>0</xdr:row>
      <xdr:rowOff>19050</xdr:rowOff>
    </xdr:from>
    <xdr:to>
      <xdr:col>6</xdr:col>
      <xdr:colOff>674159</xdr:colOff>
      <xdr:row>0</xdr:row>
      <xdr:rowOff>675218</xdr:rowOff>
    </xdr:to>
    <xdr:sp macro="" textlink="">
      <xdr:nvSpPr>
        <xdr:cNvPr id="52" name="CaixaDeTexto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 txBox="1"/>
      </xdr:nvSpPr>
      <xdr:spPr>
        <a:xfrm>
          <a:off x="691506" y="19050"/>
          <a:ext cx="1697153" cy="6561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800" b="1">
              <a:solidFill>
                <a:schemeClr val="bg1"/>
              </a:solidFill>
            </a:rPr>
            <a:t>Controle de TURNOVER</a:t>
          </a:r>
        </a:p>
      </xdr:txBody>
    </xdr:sp>
    <xdr:clientData/>
  </xdr:twoCellAnchor>
  <xdr:twoCellAnchor editAs="absolute">
    <xdr:from>
      <xdr:col>4</xdr:col>
      <xdr:colOff>76200</xdr:colOff>
      <xdr:row>0</xdr:row>
      <xdr:rowOff>95250</xdr:rowOff>
    </xdr:from>
    <xdr:to>
      <xdr:col>4</xdr:col>
      <xdr:colOff>580200</xdr:colOff>
      <xdr:row>0</xdr:row>
      <xdr:rowOff>599250</xdr:rowOff>
    </xdr:to>
    <xdr:pic>
      <xdr:nvPicPr>
        <xdr:cNvPr id="53" name="Gráfico 21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1450" y="95250"/>
          <a:ext cx="504000" cy="504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138989</xdr:colOff>
      <xdr:row>2</xdr:row>
      <xdr:rowOff>137824</xdr:rowOff>
    </xdr:from>
    <xdr:to>
      <xdr:col>12</xdr:col>
      <xdr:colOff>790575</xdr:colOff>
      <xdr:row>8</xdr:row>
      <xdr:rowOff>111193</xdr:rowOff>
    </xdr:to>
    <xdr:sp macro="" textlink="">
      <xdr:nvSpPr>
        <xdr:cNvPr id="52" name="Retângulo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/>
      </xdr:nvSpPr>
      <xdr:spPr>
        <a:xfrm>
          <a:off x="234239" y="976024"/>
          <a:ext cx="12824536" cy="944919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227494</xdr:colOff>
      <xdr:row>3</xdr:row>
      <xdr:rowOff>18354</xdr:rowOff>
    </xdr:from>
    <xdr:to>
      <xdr:col>4</xdr:col>
      <xdr:colOff>2105609</xdr:colOff>
      <xdr:row>6</xdr:row>
      <xdr:rowOff>130243</xdr:rowOff>
    </xdr:to>
    <xdr:sp macro="" textlink="">
      <xdr:nvSpPr>
        <xdr:cNvPr id="18" name="Retângulo Arredondado 96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322744" y="1025283"/>
          <a:ext cx="1878115" cy="601746"/>
        </a:xfrm>
        <a:prstGeom prst="roundRect">
          <a:avLst>
            <a:gd name="adj" fmla="val 18496"/>
          </a:avLst>
        </a:prstGeom>
        <a:solidFill>
          <a:srgbClr val="3498DB"/>
        </a:solidFill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800" b="0" i="0" u="none" strike="noStrike" kern="1200" cap="none" spc="0" normalizeH="0" baseline="0">
            <a:ln>
              <a:noFill/>
            </a:ln>
            <a:solidFill>
              <a:schemeClr val="bg1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 editAs="absolute">
    <xdr:from>
      <xdr:col>4</xdr:col>
      <xdr:colOff>216045</xdr:colOff>
      <xdr:row>6</xdr:row>
      <xdr:rowOff>147170</xdr:rowOff>
    </xdr:from>
    <xdr:to>
      <xdr:col>4</xdr:col>
      <xdr:colOff>2083817</xdr:colOff>
      <xdr:row>8</xdr:row>
      <xdr:rowOff>72813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>
          <a:off x="311295" y="1633070"/>
          <a:ext cx="1867772" cy="249493"/>
        </a:xfrm>
        <a:prstGeom prst="rect">
          <a:avLst/>
        </a:prstGeom>
        <a:noFill/>
        <a:effectLst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1000" b="0" cap="none" spc="0">
              <a:ln w="0">
                <a:noFill/>
              </a:ln>
              <a:solidFill>
                <a:srgbClr val="34495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Open Sans" panose="020B0606030504020204" pitchFamily="34" charset="0"/>
              <a:cs typeface="Open Sans" panose="020B0606030504020204" pitchFamily="34" charset="0"/>
            </a:rPr>
            <a:t>QTD TOTAL DE FUNCIONÁRIOS</a:t>
          </a:r>
        </a:p>
      </xdr:txBody>
    </xdr:sp>
    <xdr:clientData/>
  </xdr:twoCellAnchor>
  <xdr:twoCellAnchor editAs="absolute">
    <xdr:from>
      <xdr:col>19</xdr:col>
      <xdr:colOff>37903</xdr:colOff>
      <xdr:row>0</xdr:row>
      <xdr:rowOff>429302</xdr:rowOff>
    </xdr:from>
    <xdr:to>
      <xdr:col>22</xdr:col>
      <xdr:colOff>588171</xdr:colOff>
      <xdr:row>1</xdr:row>
      <xdr:rowOff>28274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17378846" y="434123"/>
          <a:ext cx="2512418" cy="301878"/>
        </a:xfrm>
        <a:prstGeom prst="rect">
          <a:avLst/>
        </a:prstGeom>
        <a:noFill/>
        <a:effectLst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1200" b="1" cap="none" spc="0">
              <a:ln w="0">
                <a:noFill/>
              </a:ln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QTD TOTAL DE FUNCIONÁRIOS</a:t>
          </a:r>
        </a:p>
      </xdr:txBody>
    </xdr:sp>
    <xdr:clientData/>
  </xdr:twoCellAnchor>
  <xdr:twoCellAnchor editAs="absolute">
    <xdr:from>
      <xdr:col>4</xdr:col>
      <xdr:colOff>851159</xdr:colOff>
      <xdr:row>3</xdr:row>
      <xdr:rowOff>69065</xdr:rowOff>
    </xdr:from>
    <xdr:to>
      <xdr:col>4</xdr:col>
      <xdr:colOff>1389925</xdr:colOff>
      <xdr:row>6</xdr:row>
      <xdr:rowOff>94712</xdr:rowOff>
    </xdr:to>
    <xdr:sp macro="" textlink="Dinamicas!S6">
      <xdr:nvSpPr>
        <xdr:cNvPr id="37" name="Retângulo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946409" y="1075994"/>
          <a:ext cx="538766" cy="515504"/>
        </a:xfrm>
        <a:prstGeom prst="rect">
          <a:avLst/>
        </a:prstGeom>
        <a:noFill/>
        <a:effectLst/>
      </xdr:spPr>
      <xdr:txBody>
        <a:bodyPr wrap="none" lIns="91440" tIns="45720" rIns="91440" bIns="45720">
          <a:noAutofit/>
        </a:bodyPr>
        <a:lstStyle/>
        <a:p>
          <a:pPr algn="ctr"/>
          <a:fld id="{B1067F8F-0EFD-4333-AAE9-BDD17E6471CC}" type="TxLink">
            <a:rPr lang="en-US" sz="2400" b="1" i="0" u="none" strike="noStrike" cap="none" spc="0">
              <a:ln w="0">
                <a:noFill/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/>
              <a:ea typeface="Open Sans"/>
              <a:cs typeface="Open Sans"/>
            </a:rPr>
            <a:pPr algn="ctr"/>
            <a:t>74</a:t>
          </a:fld>
          <a:endParaRPr lang="pt-BR" sz="1050" b="1" cap="none" spc="0">
            <a:ln w="0">
              <a:noFill/>
            </a:ln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4</xdr:col>
      <xdr:colOff>2210383</xdr:colOff>
      <xdr:row>3</xdr:row>
      <xdr:rowOff>80712</xdr:rowOff>
    </xdr:from>
    <xdr:to>
      <xdr:col>12</xdr:col>
      <xdr:colOff>647700</xdr:colOff>
      <xdr:row>8</xdr:row>
      <xdr:rowOff>36936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0" name="Ano">
              <a:extLst>
                <a:ext uri="{FF2B5EF4-FFF2-40B4-BE49-F238E27FC236}">
                  <a16:creationId xmlns:a16="http://schemas.microsoft.com/office/drawing/2014/main" id="{00000000-0008-0000-0300-00002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05633" y="1080837"/>
              <a:ext cx="10610267" cy="7658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148513</xdr:colOff>
      <xdr:row>9</xdr:row>
      <xdr:rowOff>80712</xdr:rowOff>
    </xdr:from>
    <xdr:to>
      <xdr:col>12</xdr:col>
      <xdr:colOff>828674</xdr:colOff>
      <xdr:row>28</xdr:row>
      <xdr:rowOff>9525</xdr:rowOff>
    </xdr:to>
    <xdr:graphicFrame macro="">
      <xdr:nvGraphicFramePr>
        <xdr:cNvPr id="41" name="Gráfico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8</xdr:col>
      <xdr:colOff>648395</xdr:colOff>
      <xdr:row>28</xdr:row>
      <xdr:rowOff>130570</xdr:rowOff>
    </xdr:from>
    <xdr:to>
      <xdr:col>12</xdr:col>
      <xdr:colOff>838200</xdr:colOff>
      <xdr:row>52</xdr:row>
      <xdr:rowOff>104775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pSpPr/>
      </xdr:nvGrpSpPr>
      <xdr:grpSpPr>
        <a:xfrm>
          <a:off x="7239695" y="5178820"/>
          <a:ext cx="5866705" cy="3860405"/>
          <a:chOff x="7220645" y="5169295"/>
          <a:chExt cx="5866705" cy="3860405"/>
        </a:xfrm>
      </xdr:grpSpPr>
      <xdr:graphicFrame macro="">
        <xdr:nvGraphicFramePr>
          <xdr:cNvPr id="44" name="Gráfico 43">
            <a:extLst>
              <a:ext uri="{FF2B5EF4-FFF2-40B4-BE49-F238E27FC236}">
                <a16:creationId xmlns:a16="http://schemas.microsoft.com/office/drawing/2014/main" id="{00000000-0008-0000-0300-00002C000000}"/>
              </a:ext>
            </a:extLst>
          </xdr:cNvPr>
          <xdr:cNvGraphicFramePr>
            <a:graphicFrameLocks/>
          </xdr:cNvGraphicFramePr>
        </xdr:nvGraphicFramePr>
        <xdr:xfrm>
          <a:off x="7277995" y="5192372"/>
          <a:ext cx="5809355" cy="383732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45" name="Retângulo 44">
            <a:extLst>
              <a:ext uri="{FF2B5EF4-FFF2-40B4-BE49-F238E27FC236}">
                <a16:creationId xmlns:a16="http://schemas.microsoft.com/office/drawing/2014/main" id="{00000000-0008-0000-0300-00002D000000}"/>
              </a:ext>
            </a:extLst>
          </xdr:cNvPr>
          <xdr:cNvSpPr/>
        </xdr:nvSpPr>
        <xdr:spPr>
          <a:xfrm>
            <a:off x="7220645" y="5169295"/>
            <a:ext cx="3100547" cy="319384"/>
          </a:xfrm>
          <a:prstGeom prst="rect">
            <a:avLst/>
          </a:prstGeom>
          <a:noFill/>
          <a:effectLst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pt-BR" sz="1400" b="1" cap="none" spc="0">
                <a:ln w="0">
                  <a:noFill/>
                </a:ln>
                <a:solidFill>
                  <a:srgbClr val="34495E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QTD DE FUNCIONÁRIOS POR SETOR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15935</xdr:col>
          <xdr:colOff>76200</xdr:colOff>
          <xdr:row>0</xdr:row>
          <xdr:rowOff>666750</xdr:rowOff>
        </xdr:from>
        <xdr:to>
          <xdr:col>15935</xdr:col>
          <xdr:colOff>76200</xdr:colOff>
          <xdr:row>1</xdr:row>
          <xdr:rowOff>114300</xdr:rowOff>
        </xdr:to>
        <xdr:sp macro="" textlink="">
          <xdr:nvSpPr>
            <xdr:cNvPr id="5308" name="Button 188" hidden="1">
              <a:extLst>
                <a:ext uri="{63B3BB69-23CF-44E3-9099-C40C66FF867C}">
                  <a14:compatExt spid="_x0000_s5308"/>
                </a:ext>
                <a:ext uri="{FF2B5EF4-FFF2-40B4-BE49-F238E27FC236}">
                  <a16:creationId xmlns:a16="http://schemas.microsoft.com/office/drawing/2014/main" id="{00000000-0008-0000-0300-0000B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15935</xdr:col>
          <xdr:colOff>76200</xdr:colOff>
          <xdr:row>0</xdr:row>
          <xdr:rowOff>666750</xdr:rowOff>
        </xdr:from>
        <xdr:to>
          <xdr:col>15935</xdr:col>
          <xdr:colOff>76200</xdr:colOff>
          <xdr:row>1</xdr:row>
          <xdr:rowOff>114300</xdr:rowOff>
        </xdr:to>
        <xdr:sp macro="" textlink="">
          <xdr:nvSpPr>
            <xdr:cNvPr id="5309" name="Button 189" hidden="1">
              <a:extLst>
                <a:ext uri="{63B3BB69-23CF-44E3-9099-C40C66FF867C}">
                  <a14:compatExt spid="_x0000_s5309"/>
                </a:ext>
                <a:ext uri="{FF2B5EF4-FFF2-40B4-BE49-F238E27FC236}">
                  <a16:creationId xmlns:a16="http://schemas.microsoft.com/office/drawing/2014/main" id="{00000000-0008-0000-0300-0000B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Minimizar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15935</xdr:col>
          <xdr:colOff>76200</xdr:colOff>
          <xdr:row>1</xdr:row>
          <xdr:rowOff>95250</xdr:rowOff>
        </xdr:from>
        <xdr:to>
          <xdr:col>15935</xdr:col>
          <xdr:colOff>76200</xdr:colOff>
          <xdr:row>1</xdr:row>
          <xdr:rowOff>123825</xdr:rowOff>
        </xdr:to>
        <xdr:sp macro="" textlink="">
          <xdr:nvSpPr>
            <xdr:cNvPr id="5310" name="Button 190" hidden="1">
              <a:extLst>
                <a:ext uri="{63B3BB69-23CF-44E3-9099-C40C66FF867C}">
                  <a14:compatExt spid="_x0000_s5310"/>
                </a:ext>
                <a:ext uri="{FF2B5EF4-FFF2-40B4-BE49-F238E27FC236}">
                  <a16:creationId xmlns:a16="http://schemas.microsoft.com/office/drawing/2014/main" id="{00000000-0008-0000-0300-0000B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15935</xdr:col>
          <xdr:colOff>76200</xdr:colOff>
          <xdr:row>1</xdr:row>
          <xdr:rowOff>95250</xdr:rowOff>
        </xdr:from>
        <xdr:to>
          <xdr:col>15935</xdr:col>
          <xdr:colOff>76200</xdr:colOff>
          <xdr:row>1</xdr:row>
          <xdr:rowOff>123825</xdr:rowOff>
        </xdr:to>
        <xdr:sp macro="" textlink="">
          <xdr:nvSpPr>
            <xdr:cNvPr id="5311" name="Button 191" hidden="1">
              <a:extLst>
                <a:ext uri="{63B3BB69-23CF-44E3-9099-C40C66FF867C}">
                  <a14:compatExt spid="_x0000_s5311"/>
                </a:ext>
                <a:ext uri="{FF2B5EF4-FFF2-40B4-BE49-F238E27FC236}">
                  <a16:creationId xmlns:a16="http://schemas.microsoft.com/office/drawing/2014/main" id="{00000000-0008-0000-0300-0000B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Minimizar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15935</xdr:col>
          <xdr:colOff>76200</xdr:colOff>
          <xdr:row>0</xdr:row>
          <xdr:rowOff>666750</xdr:rowOff>
        </xdr:from>
        <xdr:to>
          <xdr:col>15935</xdr:col>
          <xdr:colOff>76200</xdr:colOff>
          <xdr:row>1</xdr:row>
          <xdr:rowOff>114300</xdr:rowOff>
        </xdr:to>
        <xdr:sp macro="" textlink="">
          <xdr:nvSpPr>
            <xdr:cNvPr id="5312" name="Button 192" hidden="1">
              <a:extLst>
                <a:ext uri="{63B3BB69-23CF-44E3-9099-C40C66FF867C}">
                  <a14:compatExt spid="_x0000_s5312"/>
                </a:ext>
                <a:ext uri="{FF2B5EF4-FFF2-40B4-BE49-F238E27FC236}">
                  <a16:creationId xmlns:a16="http://schemas.microsoft.com/office/drawing/2014/main" id="{00000000-0008-0000-0300-0000C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15935</xdr:col>
          <xdr:colOff>76200</xdr:colOff>
          <xdr:row>0</xdr:row>
          <xdr:rowOff>666750</xdr:rowOff>
        </xdr:from>
        <xdr:to>
          <xdr:col>15935</xdr:col>
          <xdr:colOff>76200</xdr:colOff>
          <xdr:row>1</xdr:row>
          <xdr:rowOff>114300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3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Minimizar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15935</xdr:col>
          <xdr:colOff>76200</xdr:colOff>
          <xdr:row>0</xdr:row>
          <xdr:rowOff>666750</xdr:rowOff>
        </xdr:from>
        <xdr:to>
          <xdr:col>15935</xdr:col>
          <xdr:colOff>76200</xdr:colOff>
          <xdr:row>1</xdr:row>
          <xdr:rowOff>114300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3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15935</xdr:col>
          <xdr:colOff>76200</xdr:colOff>
          <xdr:row>0</xdr:row>
          <xdr:rowOff>666750</xdr:rowOff>
        </xdr:from>
        <xdr:to>
          <xdr:col>15935</xdr:col>
          <xdr:colOff>76200</xdr:colOff>
          <xdr:row>1</xdr:row>
          <xdr:rowOff>114300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3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Minimizar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15935</xdr:col>
          <xdr:colOff>76200</xdr:colOff>
          <xdr:row>0</xdr:row>
          <xdr:rowOff>676275</xdr:rowOff>
        </xdr:from>
        <xdr:to>
          <xdr:col>15935</xdr:col>
          <xdr:colOff>76200</xdr:colOff>
          <xdr:row>1</xdr:row>
          <xdr:rowOff>114300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3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15935</xdr:col>
          <xdr:colOff>76200</xdr:colOff>
          <xdr:row>0</xdr:row>
          <xdr:rowOff>676275</xdr:rowOff>
        </xdr:from>
        <xdr:to>
          <xdr:col>15935</xdr:col>
          <xdr:colOff>76200</xdr:colOff>
          <xdr:row>1</xdr:row>
          <xdr:rowOff>114300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3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Minimizar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15935</xdr:col>
          <xdr:colOff>76200</xdr:colOff>
          <xdr:row>1</xdr:row>
          <xdr:rowOff>95250</xdr:rowOff>
        </xdr:from>
        <xdr:to>
          <xdr:col>15935</xdr:col>
          <xdr:colOff>76200</xdr:colOff>
          <xdr:row>1</xdr:row>
          <xdr:rowOff>123825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3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15935</xdr:col>
          <xdr:colOff>76200</xdr:colOff>
          <xdr:row>1</xdr:row>
          <xdr:rowOff>95250</xdr:rowOff>
        </xdr:from>
        <xdr:to>
          <xdr:col>15935</xdr:col>
          <xdr:colOff>76200</xdr:colOff>
          <xdr:row>1</xdr:row>
          <xdr:rowOff>123825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3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Minimizar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15935</xdr:col>
          <xdr:colOff>76200</xdr:colOff>
          <xdr:row>0</xdr:row>
          <xdr:rowOff>666750</xdr:rowOff>
        </xdr:from>
        <xdr:to>
          <xdr:col>15935</xdr:col>
          <xdr:colOff>76200</xdr:colOff>
          <xdr:row>1</xdr:row>
          <xdr:rowOff>114300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3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15935</xdr:col>
          <xdr:colOff>76200</xdr:colOff>
          <xdr:row>0</xdr:row>
          <xdr:rowOff>666750</xdr:rowOff>
        </xdr:from>
        <xdr:to>
          <xdr:col>15935</xdr:col>
          <xdr:colOff>76200</xdr:colOff>
          <xdr:row>1</xdr:row>
          <xdr:rowOff>114300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3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Minimizar tela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10</xdr:col>
      <xdr:colOff>1317632</xdr:colOff>
      <xdr:row>0</xdr:row>
      <xdr:rowOff>132292</xdr:rowOff>
    </xdr:from>
    <xdr:to>
      <xdr:col>11</xdr:col>
      <xdr:colOff>361437</xdr:colOff>
      <xdr:row>0</xdr:row>
      <xdr:rowOff>603150</xdr:rowOff>
    </xdr:to>
    <xdr:pic macro="[0]!lsLigarTelaCheia">
      <xdr:nvPicPr>
        <xdr:cNvPr id="2" name="Expandir" descr="Aumentar o zoom com preenchimento sólid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747382" y="132292"/>
          <a:ext cx="463030" cy="470858"/>
        </a:xfrm>
        <a:prstGeom prst="rect">
          <a:avLst/>
        </a:prstGeom>
      </xdr:spPr>
    </xdr:pic>
    <xdr:clientData/>
  </xdr:twoCellAnchor>
  <xdr:twoCellAnchor editAs="absolute">
    <xdr:from>
      <xdr:col>11</xdr:col>
      <xdr:colOff>627854</xdr:colOff>
      <xdr:row>0</xdr:row>
      <xdr:rowOff>141277</xdr:rowOff>
    </xdr:from>
    <xdr:to>
      <xdr:col>11</xdr:col>
      <xdr:colOff>1086988</xdr:colOff>
      <xdr:row>0</xdr:row>
      <xdr:rowOff>612871</xdr:rowOff>
    </xdr:to>
    <xdr:pic macro="[0]!lsDesligarTelaCheia">
      <xdr:nvPicPr>
        <xdr:cNvPr id="3" name="Reduzir" descr="Pince para ampliar com preenchimento sólid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476829" y="141277"/>
          <a:ext cx="459134" cy="471594"/>
        </a:xfrm>
        <a:prstGeom prst="rect">
          <a:avLst/>
        </a:prstGeom>
      </xdr:spPr>
    </xdr:pic>
    <xdr:clientData/>
  </xdr:twoCellAnchor>
  <xdr:twoCellAnchor editAs="absolute">
    <xdr:from>
      <xdr:col>11</xdr:col>
      <xdr:colOff>522781</xdr:colOff>
      <xdr:row>0</xdr:row>
      <xdr:rowOff>175424</xdr:rowOff>
    </xdr:from>
    <xdr:to>
      <xdr:col>11</xdr:col>
      <xdr:colOff>528172</xdr:colOff>
      <xdr:row>0</xdr:row>
      <xdr:rowOff>597758</xdr:rowOff>
    </xdr:to>
    <xdr:cxnSp macro="">
      <xdr:nvCxnSpPr>
        <xdr:cNvPr id="4" name="Separador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>
          <a:off x="11371756" y="175424"/>
          <a:ext cx="5391" cy="422334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449961</xdr:colOff>
      <xdr:row>0</xdr:row>
      <xdr:rowOff>9720</xdr:rowOff>
    </xdr:from>
    <xdr:to>
      <xdr:col>10</xdr:col>
      <xdr:colOff>1060922</xdr:colOff>
      <xdr:row>1</xdr:row>
      <xdr:rowOff>127000</xdr:rowOff>
    </xdr:to>
    <xdr:grpSp>
      <xdr:nvGrpSpPr>
        <xdr:cNvPr id="7" name="Menu 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8460486" y="9720"/>
          <a:ext cx="2030186" cy="822130"/>
          <a:chOff x="13330889" y="9720"/>
          <a:chExt cx="2025949" cy="826362"/>
        </a:xfrm>
      </xdr:grpSpPr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13330889" y="9720"/>
            <a:ext cx="2025949" cy="826362"/>
          </a:xfrm>
          <a:prstGeom prst="rect">
            <a:avLst/>
          </a:prstGeom>
          <a:solidFill>
            <a:srgbClr val="3498DB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" name="CaixaDeTexto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 txBox="1"/>
        </xdr:nvSpPr>
        <xdr:spPr>
          <a:xfrm>
            <a:off x="13989233" y="115689"/>
            <a:ext cx="1229567" cy="5828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 b="1">
                <a:solidFill>
                  <a:schemeClr val="bg1"/>
                </a:solidFill>
              </a:rPr>
              <a:t> Dashboard</a:t>
            </a:r>
          </a:p>
        </xdr:txBody>
      </xdr:sp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555462" y="201585"/>
            <a:ext cx="421720" cy="42172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1273196</xdr:colOff>
      <xdr:row>0</xdr:row>
      <xdr:rowOff>0</xdr:rowOff>
    </xdr:from>
    <xdr:to>
      <xdr:col>9</xdr:col>
      <xdr:colOff>454046</xdr:colOff>
      <xdr:row>2</xdr:row>
      <xdr:rowOff>0</xdr:rowOff>
    </xdr:to>
    <xdr:grpSp>
      <xdr:nvGrpSpPr>
        <xdr:cNvPr id="14" name="Menu 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pSpPr/>
      </xdr:nvGrpSpPr>
      <xdr:grpSpPr>
        <a:xfrm>
          <a:off x="6445271" y="0"/>
          <a:ext cx="2019300" cy="838200"/>
          <a:chOff x="11319847" y="0"/>
          <a:chExt cx="2019256" cy="846039"/>
        </a:xfrm>
      </xdr:grpSpPr>
      <xdr:sp macro="" textlink="">
        <xdr:nvSpPr>
          <xdr:cNvPr id="15" name="Retângulo 14" hidden="1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11319847" y="0"/>
            <a:ext cx="2019256" cy="846039"/>
          </a:xfrm>
          <a:prstGeom prst="rect">
            <a:avLst/>
          </a:prstGeom>
          <a:solidFill>
            <a:srgbClr val="3498DB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" name="CaixaDeTexto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 txBox="1"/>
        </xdr:nvSpPr>
        <xdr:spPr>
          <a:xfrm>
            <a:off x="11976014" y="105834"/>
            <a:ext cx="1225506" cy="582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 b="1">
                <a:solidFill>
                  <a:schemeClr val="bg1"/>
                </a:solidFill>
              </a:rPr>
              <a:t>Base de Dados</a:t>
            </a:r>
          </a:p>
        </xdr:txBody>
      </xdr:sp>
      <xdr:pic>
        <xdr:nvPicPr>
          <xdr:cNvPr id="20" name="Imagem 233" descr="Banco de dados com preenchimento sólido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rcRect/>
          <a:stretch/>
        </xdr:blipFill>
        <xdr:spPr>
          <a:xfrm>
            <a:off x="11566343" y="168728"/>
            <a:ext cx="416747" cy="420654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667833</xdr:colOff>
      <xdr:row>0</xdr:row>
      <xdr:rowOff>0</xdr:rowOff>
    </xdr:from>
    <xdr:to>
      <xdr:col>7</xdr:col>
      <xdr:colOff>1273200</xdr:colOff>
      <xdr:row>2</xdr:row>
      <xdr:rowOff>0</xdr:rowOff>
    </xdr:to>
    <xdr:grpSp>
      <xdr:nvGrpSpPr>
        <xdr:cNvPr id="21" name="Menu 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pSpPr/>
      </xdr:nvGrpSpPr>
      <xdr:grpSpPr>
        <a:xfrm>
          <a:off x="4420683" y="0"/>
          <a:ext cx="2024592" cy="838200"/>
          <a:chOff x="9313333" y="0"/>
          <a:chExt cx="2017098" cy="846039"/>
        </a:xfrm>
      </xdr:grpSpPr>
      <xdr:sp macro="" textlink="">
        <xdr:nvSpPr>
          <xdr:cNvPr id="22" name="Retângulo 21" hidden="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/>
        </xdr:nvSpPr>
        <xdr:spPr>
          <a:xfrm>
            <a:off x="9313333" y="0"/>
            <a:ext cx="2017098" cy="846039"/>
          </a:xfrm>
          <a:prstGeom prst="rect">
            <a:avLst/>
          </a:prstGeom>
          <a:solidFill>
            <a:srgbClr val="3498DB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SpPr txBox="1"/>
        </xdr:nvSpPr>
        <xdr:spPr>
          <a:xfrm>
            <a:off x="9989531" y="105834"/>
            <a:ext cx="1225508" cy="582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 b="1">
                <a:solidFill>
                  <a:schemeClr val="bg1"/>
                </a:solidFill>
              </a:rPr>
              <a:t>Dinâmicas</a:t>
            </a:r>
          </a:p>
        </xdr:txBody>
      </xdr:sp>
      <xdr:pic>
        <xdr:nvPicPr>
          <xdr:cNvPr id="24" name="Imagem 15" descr="Tabela com preenchimento sólido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rcRect/>
          <a:stretch/>
        </xdr:blipFill>
        <xdr:spPr>
          <a:xfrm>
            <a:off x="9550309" y="178399"/>
            <a:ext cx="429419" cy="435045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75156</xdr:colOff>
      <xdr:row>0</xdr:row>
      <xdr:rowOff>0</xdr:rowOff>
    </xdr:from>
    <xdr:to>
      <xdr:col>6</xdr:col>
      <xdr:colOff>679464</xdr:colOff>
      <xdr:row>1</xdr:row>
      <xdr:rowOff>85725</xdr:rowOff>
    </xdr:to>
    <xdr:grpSp>
      <xdr:nvGrpSpPr>
        <xdr:cNvPr id="25" name="Menu 3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GrpSpPr/>
      </xdr:nvGrpSpPr>
      <xdr:grpSpPr>
        <a:xfrm>
          <a:off x="2408781" y="0"/>
          <a:ext cx="2023533" cy="790575"/>
          <a:chOff x="3244850" y="0"/>
          <a:chExt cx="2022475" cy="790575"/>
        </a:xfrm>
        <a:solidFill>
          <a:srgbClr val="1ABC9C"/>
        </a:solidFill>
      </xdr:grpSpPr>
      <xdr:sp macro="" textlink="">
        <xdr:nvSpPr>
          <xdr:cNvPr id="26" name="Retângulo 25" hidden="1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SpPr/>
        </xdr:nvSpPr>
        <xdr:spPr>
          <a:xfrm>
            <a:off x="3244850" y="0"/>
            <a:ext cx="2022475" cy="790575"/>
          </a:xfrm>
          <a:prstGeom prst="rect">
            <a:avLst/>
          </a:prstGeom>
          <a:solidFill>
            <a:srgbClr val="3498DB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SpPr txBox="1"/>
        </xdr:nvSpPr>
        <xdr:spPr>
          <a:xfrm>
            <a:off x="3965449" y="120165"/>
            <a:ext cx="1291287" cy="5885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 b="1">
                <a:solidFill>
                  <a:schemeClr val="bg1"/>
                </a:solidFill>
              </a:rPr>
              <a:t>Funcionários</a:t>
            </a:r>
          </a:p>
        </xdr:txBody>
      </xdr:sp>
      <xdr:pic>
        <xdr:nvPicPr>
          <xdr:cNvPr id="28" name="Gráfico 241" descr="Crachá de funcionário com preenchimento sólido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rcRect/>
          <a:stretch/>
        </xdr:blipFill>
        <xdr:spPr>
          <a:xfrm>
            <a:off x="3487516" y="153645"/>
            <a:ext cx="465265" cy="465508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596256</xdr:colOff>
      <xdr:row>0</xdr:row>
      <xdr:rowOff>19050</xdr:rowOff>
    </xdr:from>
    <xdr:to>
      <xdr:col>5</xdr:col>
      <xdr:colOff>55034</xdr:colOff>
      <xdr:row>0</xdr:row>
      <xdr:rowOff>675218</xdr:rowOff>
    </xdr:to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691506" y="19050"/>
          <a:ext cx="1697153" cy="6561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800" b="1">
              <a:solidFill>
                <a:schemeClr val="bg1"/>
              </a:solidFill>
            </a:rPr>
            <a:t>Controle de TURNOVER</a:t>
          </a:r>
        </a:p>
      </xdr:txBody>
    </xdr:sp>
    <xdr:clientData/>
  </xdr:twoCellAnchor>
  <xdr:twoCellAnchor editAs="absolute">
    <xdr:from>
      <xdr:col>4</xdr:col>
      <xdr:colOff>76200</xdr:colOff>
      <xdr:row>0</xdr:row>
      <xdr:rowOff>95250</xdr:rowOff>
    </xdr:from>
    <xdr:to>
      <xdr:col>4</xdr:col>
      <xdr:colOff>580200</xdr:colOff>
      <xdr:row>0</xdr:row>
      <xdr:rowOff>599250</xdr:rowOff>
    </xdr:to>
    <xdr:pic>
      <xdr:nvPicPr>
        <xdr:cNvPr id="30" name="Gráfico 21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1450" y="95250"/>
          <a:ext cx="504000" cy="504000"/>
        </a:xfrm>
        <a:prstGeom prst="rect">
          <a:avLst/>
        </a:prstGeom>
      </xdr:spPr>
    </xdr:pic>
    <xdr:clientData/>
  </xdr:twoCellAnchor>
  <xdr:twoCellAnchor editAs="absolute">
    <xdr:from>
      <xdr:col>4</xdr:col>
      <xdr:colOff>177089</xdr:colOff>
      <xdr:row>28</xdr:row>
      <xdr:rowOff>149621</xdr:rowOff>
    </xdr:from>
    <xdr:to>
      <xdr:col>8</xdr:col>
      <xdr:colOff>590550</xdr:colOff>
      <xdr:row>52</xdr:row>
      <xdr:rowOff>102396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pSpPr/>
      </xdr:nvGrpSpPr>
      <xdr:grpSpPr>
        <a:xfrm>
          <a:off x="272339" y="5197871"/>
          <a:ext cx="6909511" cy="3838975"/>
          <a:chOff x="14778914" y="5226445"/>
          <a:chExt cx="6909511" cy="3839318"/>
        </a:xfrm>
      </xdr:grpSpPr>
      <xdr:sp macro="" textlink="">
        <xdr:nvSpPr>
          <xdr:cNvPr id="42" name="Retângulo 41">
            <a:extLst>
              <a:ext uri="{FF2B5EF4-FFF2-40B4-BE49-F238E27FC236}">
                <a16:creationId xmlns:a16="http://schemas.microsoft.com/office/drawing/2014/main" id="{00000000-0008-0000-0300-00002A000000}"/>
              </a:ext>
            </a:extLst>
          </xdr:cNvPr>
          <xdr:cNvSpPr/>
        </xdr:nvSpPr>
        <xdr:spPr>
          <a:xfrm>
            <a:off x="14778914" y="5232376"/>
            <a:ext cx="6909511" cy="3833387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00000000-0008-0000-0300-00002B000000}"/>
              </a:ext>
            </a:extLst>
          </xdr:cNvPr>
          <xdr:cNvSpPr/>
        </xdr:nvSpPr>
        <xdr:spPr>
          <a:xfrm>
            <a:off x="14796593" y="5226445"/>
            <a:ext cx="3618781" cy="319384"/>
          </a:xfrm>
          <a:prstGeom prst="rect">
            <a:avLst/>
          </a:prstGeom>
          <a:noFill/>
          <a:effectLst/>
        </xdr:spPr>
        <xdr:txBody>
          <a:bodyPr wrap="none" lIns="91440" tIns="45720" rIns="91440" bIns="45720">
            <a:noAutofit/>
          </a:bodyPr>
          <a:lstStyle/>
          <a:p>
            <a:pPr algn="l"/>
            <a:r>
              <a:rPr lang="pt-BR" sz="1400" b="1" cap="none" spc="0">
                <a:ln w="0">
                  <a:noFill/>
                </a:ln>
                <a:solidFill>
                  <a:srgbClr val="34495E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TABELA DOS INDICADORES DE TURNOVER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31" name="Imagem 30">
                <a:extLst>
                  <a:ext uri="{FF2B5EF4-FFF2-40B4-BE49-F238E27FC236}">
                    <a16:creationId xmlns:a16="http://schemas.microsoft.com/office/drawing/2014/main" id="{00000000-0008-0000-0300-00001F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Dashboard!$D$2:$I$15" spid="_x0000_s5339"/>
                  </a:ext>
                </a:extLst>
              </xdr:cNvPicPr>
            </xdr:nvPicPr>
            <xdr:blipFill rotWithShape="1">
              <a:blip xmlns:r="http://schemas.openxmlformats.org/officeDocument/2006/relationships" r:embed="rId19"/>
              <a:srcRect b="4531"/>
              <a:stretch>
                <a:fillRect/>
              </a:stretch>
            </xdr:blipFill>
            <xdr:spPr bwMode="auto">
              <a:xfrm>
                <a:off x="14897100" y="5686425"/>
                <a:ext cx="6657976" cy="3262990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</xdr:grpSp>
    <xdr:clientData/>
  </xdr:twoCellAnchor>
  <xdr:twoCellAnchor editAs="oneCell">
    <xdr:from>
      <xdr:col>11</xdr:col>
      <xdr:colOff>1285875</xdr:colOff>
      <xdr:row>0</xdr:row>
      <xdr:rowOff>152400</xdr:rowOff>
    </xdr:from>
    <xdr:to>
      <xdr:col>12</xdr:col>
      <xdr:colOff>333375</xdr:colOff>
      <xdr:row>0</xdr:row>
      <xdr:rowOff>619125</xdr:rowOff>
    </xdr:to>
    <xdr:pic macro="[0]!atualizar1">
      <xdr:nvPicPr>
        <xdr:cNvPr id="5" name="Gráfico 4" descr="Repetir com preenchimento sólido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12134850" y="152400"/>
          <a:ext cx="466725" cy="466725"/>
        </a:xfrm>
        <a:prstGeom prst="rect">
          <a:avLst/>
        </a:prstGeom>
      </xdr:spPr>
    </xdr:pic>
    <xdr:clientData/>
  </xdr:twoCellAnchor>
  <xdr:twoCellAnchor editAs="absolute">
    <xdr:from>
      <xdr:col>11</xdr:col>
      <xdr:colOff>1152525</xdr:colOff>
      <xdr:row>0</xdr:row>
      <xdr:rowOff>190500</xdr:rowOff>
    </xdr:from>
    <xdr:to>
      <xdr:col>11</xdr:col>
      <xdr:colOff>1157916</xdr:colOff>
      <xdr:row>0</xdr:row>
      <xdr:rowOff>612834</xdr:rowOff>
    </xdr:to>
    <xdr:cxnSp macro="">
      <xdr:nvCxnSpPr>
        <xdr:cNvPr id="6" name="Separador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>
          <a:off x="12001500" y="190500"/>
          <a:ext cx="5391" cy="422334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erto Lima" refreshedDate="45519.505592013891" createdVersion="8" refreshedVersion="8" minRefreshableVersion="3" recordCount="72" xr:uid="{A61735CC-3A43-46C6-9E3B-D2DD0982B0FA}">
  <cacheSource type="worksheet">
    <worksheetSource name="Tabela2"/>
  </cacheSource>
  <cacheFields count="8">
    <cacheField name="Ano" numFmtId="0">
      <sharedItems containsSemiMixedTypes="0" containsString="0" containsNumber="1" containsInteger="1" minValue="2019" maxValue="2024" count="6">
        <n v="2019"/>
        <n v="2020"/>
        <n v="2021"/>
        <n v="2022"/>
        <n v="2023"/>
        <n v="2024"/>
      </sharedItems>
    </cacheField>
    <cacheField name="Meses" numFmtId="0">
      <sharedItems count="12">
        <s v="Janeiro"/>
        <s v="Fevereiro"/>
        <s v="Março"/>
        <s v="Abril"/>
        <s v="Maio"/>
        <s v="Junho"/>
        <s v="Julho"/>
        <s v="Agosto"/>
        <s v="Setembro"/>
        <s v="Outubro"/>
        <s v="Novembro"/>
        <s v="Dezembro"/>
      </sharedItems>
    </cacheField>
    <cacheField name="nº de funcionários" numFmtId="0">
      <sharedItems containsString="0" containsBlank="1" containsNumber="1" containsInteger="1" minValue="9" maxValue="98"/>
    </cacheField>
    <cacheField name="nº de admissões" numFmtId="0">
      <sharedItems containsString="0" containsBlank="1" containsNumber="1" containsInteger="1" minValue="0" maxValue="49"/>
    </cacheField>
    <cacheField name="nº de demissões" numFmtId="0">
      <sharedItems containsString="0" containsBlank="1" containsNumber="1" containsInteger="1" minValue="0" maxValue="24"/>
    </cacheField>
    <cacheField name="nº de demissões voluntárias" numFmtId="0">
      <sharedItems containsNonDate="0" containsString="0" containsBlank="1"/>
    </cacheField>
    <cacheField name="%" numFmtId="0">
      <sharedItems containsNonDate="0" containsString="0" containsBlank="1"/>
    </cacheField>
    <cacheField name="Turnover" numFmtId="164">
      <sharedItems containsMixedTypes="1" containsNumber="1" minValue="0" maxValue="0.5"/>
    </cacheField>
  </cacheFields>
  <extLst>
    <ext xmlns:x14="http://schemas.microsoft.com/office/spreadsheetml/2009/9/main" uri="{725AE2AE-9491-48be-B2B4-4EB974FC3084}">
      <x14:pivotCacheDefinition pivotCacheId="196937011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erto Lima" refreshedDate="45519.505592592592" missingItemsLimit="0" createdVersion="8" refreshedVersion="8" minRefreshableVersion="3" recordCount="381" xr:uid="{EFE0D5A5-40DC-4BDB-892A-30CE57FC5DF3}">
  <cacheSource type="worksheet">
    <worksheetSource name="Tabela1"/>
  </cacheSource>
  <cacheFields count="13">
    <cacheField name="Nome" numFmtId="0">
      <sharedItems/>
    </cacheField>
    <cacheField name="Data de Nascimento" numFmtId="14">
      <sharedItems containsSemiMixedTypes="0" containsNonDate="0" containsDate="1" containsString="0" minDate="1954-01-25T00:00:00" maxDate="2004-08-27T00:00:00"/>
    </cacheField>
    <cacheField name="Data Admissão" numFmtId="14">
      <sharedItems containsSemiMixedTypes="0" containsNonDate="0" containsDate="1" containsString="0" minDate="2012-11-01T00:00:00" maxDate="2024-01-16T00:00:00" count="110">
        <d v="2012-11-01T00:00:00"/>
        <d v="2013-02-08T00:00:00"/>
        <d v="2013-11-01T00:00:00"/>
        <d v="2015-02-03T00:00:00"/>
        <d v="2015-04-01T00:00:00"/>
        <d v="2015-12-01T00:00:00"/>
        <d v="2019-04-01T00:00:00"/>
        <d v="2019-07-01T00:00:00"/>
        <d v="2019-07-04T00:00:00"/>
        <d v="2019-08-08T00:00:00"/>
        <d v="2019-08-12T00:00:00"/>
        <d v="2019-08-19T00:00:00"/>
        <d v="2019-08-21T00:00:00"/>
        <d v="2019-08-22T00:00:00"/>
        <d v="2019-08-28T00:00:00"/>
        <d v="2019-09-02T00:00:00"/>
        <d v="2019-09-23T00:00:00"/>
        <d v="2019-11-01T00:00:00"/>
        <d v="2019-12-16T00:00:00"/>
        <d v="2019-12-17T00:00:00"/>
        <d v="2020-01-27T00:00:00"/>
        <d v="2020-02-03T00:00:00"/>
        <d v="2020-02-20T00:00:00"/>
        <d v="2020-03-02T00:00:00"/>
        <d v="2020-04-01T00:00:00"/>
        <d v="2020-04-02T00:00:00"/>
        <d v="2020-04-03T00:00:00"/>
        <d v="2020-04-05T00:00:00"/>
        <d v="2020-04-08T00:00:00"/>
        <d v="2020-06-08T00:00:00"/>
        <d v="2020-06-10T00:00:00"/>
        <d v="2020-06-12T00:00:00"/>
        <d v="2020-08-03T00:00:00"/>
        <d v="2020-08-12T00:00:00"/>
        <d v="2020-09-08T00:00:00"/>
        <d v="2020-09-11T00:00:00"/>
        <d v="2020-09-28T00:00:00"/>
        <d v="2020-10-13T00:00:00"/>
        <d v="2020-10-23T00:00:00"/>
        <d v="2020-11-18T00:00:00"/>
        <d v="2020-11-23T00:00:00"/>
        <d v="2020-12-07T00:00:00"/>
        <d v="2020-12-10T00:00:00"/>
        <d v="2021-04-01T00:00:00"/>
        <d v="2021-05-11T00:00:00"/>
        <d v="2021-05-14T00:00:00"/>
        <d v="2021-05-24T00:00:00"/>
        <d v="2021-05-29T00:00:00"/>
        <d v="2021-06-01T00:00:00"/>
        <d v="2021-07-01T00:00:00"/>
        <d v="2021-07-08T00:00:00"/>
        <d v="2021-07-16T00:00:00"/>
        <d v="2021-07-19T00:00:00"/>
        <d v="2021-07-22T00:00:00"/>
        <d v="2021-07-26T00:00:00"/>
        <d v="2021-08-03T00:00:00"/>
        <d v="2021-08-20T00:00:00"/>
        <d v="2021-09-20T00:00:00"/>
        <d v="2022-02-07T00:00:00"/>
        <d v="2022-02-14T00:00:00"/>
        <d v="2022-03-15T00:00:00"/>
        <d v="2022-04-27T00:00:00"/>
        <d v="2022-07-26T00:00:00"/>
        <d v="2022-07-27T00:00:00"/>
        <d v="2022-08-01T00:00:00"/>
        <d v="2022-09-06T00:00:00"/>
        <d v="2022-09-09T00:00:00"/>
        <d v="2022-11-23T00:00:00"/>
        <d v="2022-11-24T00:00:00"/>
        <d v="2022-11-25T00:00:00"/>
        <d v="2022-11-28T00:00:00"/>
        <d v="2023-01-10T00:00:00"/>
        <d v="2023-02-01T00:00:00"/>
        <d v="2023-02-07T00:00:00"/>
        <d v="2023-02-09T00:00:00"/>
        <d v="2023-02-21T00:00:00"/>
        <d v="2023-03-01T00:00:00"/>
        <d v="2023-03-02T00:00:00"/>
        <d v="2023-03-13T00:00:00"/>
        <d v="2023-03-15T00:00:00"/>
        <d v="2023-03-20T00:00:00"/>
        <d v="2023-03-28T00:00:00"/>
        <d v="2023-04-24T00:00:00"/>
        <d v="2023-05-04T00:00:00"/>
        <d v="2023-05-05T00:00:00"/>
        <d v="2023-05-08T00:00:00"/>
        <d v="2023-05-09T00:00:00"/>
        <d v="2023-05-10T00:00:00"/>
        <d v="2023-05-15T00:00:00"/>
        <d v="2023-05-16T00:00:00"/>
        <d v="2023-05-17T00:00:00"/>
        <d v="2023-05-22T00:00:00"/>
        <d v="2023-05-23T00:00:00"/>
        <d v="2023-06-01T00:00:00"/>
        <d v="2023-06-14T00:00:00"/>
        <d v="2023-06-19T00:00:00"/>
        <d v="2023-06-26T00:00:00"/>
        <d v="2023-07-03T00:00:00"/>
        <d v="2023-07-11T00:00:00"/>
        <d v="2023-07-19T00:00:00"/>
        <d v="2023-08-01T00:00:00"/>
        <d v="2023-08-09T00:00:00"/>
        <d v="2023-09-18T00:00:00"/>
        <d v="2023-10-09T00:00:00"/>
        <d v="2023-10-10T00:00:00"/>
        <d v="2023-10-11T00:00:00"/>
        <d v="2023-10-19T00:00:00"/>
        <d v="2023-10-23T00:00:00"/>
        <d v="2023-11-01T00:00:00"/>
        <d v="2024-01-15T00:00:00"/>
      </sharedItems>
      <fieldGroup par="12"/>
    </cacheField>
    <cacheField name="Data de Saída" numFmtId="0">
      <sharedItems containsBlank="1"/>
    </cacheField>
    <cacheField name="Mês saída" numFmtId="0">
      <sharedItems count="13">
        <s v="Abr"/>
        <s v="Mar"/>
        <s v="Set"/>
        <s v="Nov"/>
        <s v="Fev"/>
        <s v="Ago"/>
        <s v=""/>
        <s v="Mai"/>
        <s v="Jul"/>
        <s v="Jan"/>
        <s v="Out"/>
        <s v="Dez"/>
        <s v="Jun"/>
      </sharedItems>
    </cacheField>
    <cacheField name="Ano saída" numFmtId="0">
      <sharedItems count="10">
        <s v="2014"/>
        <s v="2015"/>
        <s v="2016"/>
        <s v=""/>
        <s v="2022"/>
        <s v="2021"/>
        <s v="2020"/>
        <s v="2019"/>
        <s v="2023"/>
        <s v="2024"/>
      </sharedItems>
    </cacheField>
    <cacheField name="Mês entrada" numFmtId="0">
      <sharedItems count="12">
        <s v="Nov"/>
        <s v="Fev"/>
        <s v="Abr"/>
        <s v="Dez"/>
        <s v="Jul"/>
        <s v="Ago"/>
        <s v="Set"/>
        <s v="Jan"/>
        <s v="Mar"/>
        <s v="Jun"/>
        <s v="Out"/>
        <s v="Mai"/>
      </sharedItems>
    </cacheField>
    <cacheField name="Ano entrada" numFmtId="0">
      <sharedItems count="9">
        <s v="2012"/>
        <s v="2013"/>
        <s v="2015"/>
        <s v="2019"/>
        <s v="2020"/>
        <s v="2021"/>
        <s v="2022"/>
        <s v="2023"/>
        <s v="2024"/>
      </sharedItems>
    </cacheField>
    <cacheField name="Setor" numFmtId="0">
      <sharedItems count="9">
        <s v="Recursos humanos"/>
        <s v="Vendas"/>
        <s v="Logística"/>
        <s v="TI"/>
        <s v="Financeiro"/>
        <s v="Produção "/>
        <s v="Administrativo"/>
        <s v="Comercial"/>
        <s v="Estoque"/>
      </sharedItems>
    </cacheField>
    <cacheField name="Situação" numFmtId="0">
      <sharedItems count="2">
        <s v="-"/>
        <s v="ATIVO"/>
      </sharedItems>
    </cacheField>
    <cacheField name="Meses (Data Admissão)" numFmtId="0" databaseField="0">
      <fieldGroup base="2">
        <rangePr groupBy="months" startDate="2012-11-01T00:00:00" endDate="2024-01-16T00:00:00"/>
        <groupItems count="14">
          <s v="&lt;01/11/2012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16/01/2024"/>
        </groupItems>
      </fieldGroup>
    </cacheField>
    <cacheField name="Trimestres (Data Admissão)" numFmtId="0" databaseField="0">
      <fieldGroup base="2">
        <rangePr groupBy="quarters" startDate="2012-11-01T00:00:00" endDate="2024-01-16T00:00:00"/>
        <groupItems count="6">
          <s v="&lt;01/11/2012"/>
          <s v="Trim1"/>
          <s v="Trim2"/>
          <s v="Trim3"/>
          <s v="Trim4"/>
          <s v="&gt;16/01/2024"/>
        </groupItems>
      </fieldGroup>
    </cacheField>
    <cacheField name="Anos (Data Admissão)" numFmtId="0" databaseField="0">
      <fieldGroup base="2">
        <rangePr groupBy="years" startDate="2012-11-01T00:00:00" endDate="2024-01-16T00:00:00"/>
        <groupItems count="15">
          <s v="&lt;01/11/2012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&gt;16/01/2024"/>
        </groupItems>
      </fieldGroup>
    </cacheField>
  </cacheFields>
  <extLst>
    <ext xmlns:x14="http://schemas.microsoft.com/office/spreadsheetml/2009/9/main" uri="{725AE2AE-9491-48be-B2B4-4EB974FC3084}">
      <x14:pivotCacheDefinition pivotCacheId="182139751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2">
  <r>
    <x v="0"/>
    <x v="0"/>
    <m/>
    <m/>
    <m/>
    <m/>
    <m/>
    <s v="-"/>
  </r>
  <r>
    <x v="0"/>
    <x v="1"/>
    <m/>
    <m/>
    <m/>
    <m/>
    <m/>
    <s v="-"/>
  </r>
  <r>
    <x v="0"/>
    <x v="2"/>
    <m/>
    <m/>
    <m/>
    <m/>
    <m/>
    <s v="-"/>
  </r>
  <r>
    <x v="0"/>
    <x v="3"/>
    <n v="9"/>
    <n v="9"/>
    <n v="0"/>
    <m/>
    <m/>
    <n v="0.5"/>
  </r>
  <r>
    <x v="0"/>
    <x v="4"/>
    <n v="9"/>
    <n v="0"/>
    <n v="0"/>
    <m/>
    <m/>
    <n v="0"/>
  </r>
  <r>
    <x v="0"/>
    <x v="5"/>
    <n v="9"/>
    <n v="0"/>
    <n v="0"/>
    <m/>
    <m/>
    <n v="0"/>
  </r>
  <r>
    <x v="0"/>
    <x v="6"/>
    <n v="15"/>
    <n v="6"/>
    <n v="0"/>
    <m/>
    <m/>
    <n v="0.2"/>
  </r>
  <r>
    <x v="0"/>
    <x v="7"/>
    <n v="46"/>
    <n v="33"/>
    <n v="2"/>
    <m/>
    <m/>
    <n v="0.38043478260869568"/>
  </r>
  <r>
    <x v="0"/>
    <x v="8"/>
    <n v="53"/>
    <n v="11"/>
    <n v="4"/>
    <m/>
    <m/>
    <n v="0.14150943396226415"/>
  </r>
  <r>
    <x v="0"/>
    <x v="9"/>
    <n v="47"/>
    <n v="0"/>
    <n v="6"/>
    <m/>
    <m/>
    <n v="6.3829787234042548E-2"/>
  </r>
  <r>
    <x v="0"/>
    <x v="10"/>
    <n v="46"/>
    <n v="2"/>
    <n v="3"/>
    <m/>
    <m/>
    <n v="5.434782608695652E-2"/>
  </r>
  <r>
    <x v="0"/>
    <x v="11"/>
    <n v="92"/>
    <n v="49"/>
    <n v="3"/>
    <m/>
    <m/>
    <n v="0.28260869565217389"/>
  </r>
  <r>
    <x v="1"/>
    <x v="0"/>
    <n v="77"/>
    <n v="1"/>
    <n v="16"/>
    <m/>
    <m/>
    <n v="0.11038961038961038"/>
  </r>
  <r>
    <x v="1"/>
    <x v="1"/>
    <n v="73"/>
    <n v="4"/>
    <n v="8"/>
    <m/>
    <m/>
    <n v="8.2191780821917804E-2"/>
  </r>
  <r>
    <x v="1"/>
    <x v="2"/>
    <n v="72"/>
    <n v="1"/>
    <n v="2"/>
    <m/>
    <m/>
    <n v="2.0833333333333332E-2"/>
  </r>
  <r>
    <x v="1"/>
    <x v="3"/>
    <n v="98"/>
    <n v="28"/>
    <n v="2"/>
    <m/>
    <m/>
    <n v="0.15306122448979592"/>
  </r>
  <r>
    <x v="1"/>
    <x v="4"/>
    <n v="91"/>
    <n v="0"/>
    <n v="7"/>
    <m/>
    <m/>
    <n v="3.8461538461538464E-2"/>
  </r>
  <r>
    <x v="1"/>
    <x v="5"/>
    <n v="98"/>
    <n v="8"/>
    <n v="1"/>
    <m/>
    <m/>
    <n v="4.5918367346938778E-2"/>
  </r>
  <r>
    <x v="1"/>
    <x v="6"/>
    <n v="88"/>
    <n v="0"/>
    <n v="10"/>
    <m/>
    <m/>
    <n v="5.6818181818181816E-2"/>
  </r>
  <r>
    <x v="1"/>
    <x v="7"/>
    <n v="95"/>
    <n v="11"/>
    <n v="4"/>
    <m/>
    <m/>
    <n v="7.8947368421052627E-2"/>
  </r>
  <r>
    <x v="1"/>
    <x v="8"/>
    <n v="95"/>
    <n v="6"/>
    <n v="6"/>
    <m/>
    <m/>
    <n v="6.3157894736842107E-2"/>
  </r>
  <r>
    <x v="1"/>
    <x v="9"/>
    <n v="91"/>
    <n v="3"/>
    <n v="7"/>
    <m/>
    <m/>
    <n v="5.4945054945054944E-2"/>
  </r>
  <r>
    <x v="1"/>
    <x v="10"/>
    <n v="91"/>
    <n v="8"/>
    <n v="8"/>
    <m/>
    <m/>
    <n v="8.7912087912087919E-2"/>
  </r>
  <r>
    <x v="1"/>
    <x v="11"/>
    <n v="91"/>
    <n v="2"/>
    <n v="2"/>
    <m/>
    <m/>
    <n v="2.197802197802198E-2"/>
  </r>
  <r>
    <x v="2"/>
    <x v="0"/>
    <n v="84"/>
    <n v="0"/>
    <n v="7"/>
    <m/>
    <m/>
    <n v="4.1666666666666664E-2"/>
  </r>
  <r>
    <x v="2"/>
    <x v="1"/>
    <n v="71"/>
    <n v="0"/>
    <n v="13"/>
    <m/>
    <m/>
    <n v="9.154929577464789E-2"/>
  </r>
  <r>
    <x v="2"/>
    <x v="2"/>
    <n v="50"/>
    <n v="0"/>
    <n v="21"/>
    <m/>
    <m/>
    <n v="0.21"/>
  </r>
  <r>
    <x v="2"/>
    <x v="3"/>
    <n v="50"/>
    <n v="1"/>
    <n v="1"/>
    <m/>
    <m/>
    <n v="0.02"/>
  </r>
  <r>
    <x v="2"/>
    <x v="4"/>
    <n v="66"/>
    <n v="22"/>
    <n v="6"/>
    <m/>
    <m/>
    <n v="0.21212121212121213"/>
  </r>
  <r>
    <x v="2"/>
    <x v="5"/>
    <n v="63"/>
    <n v="1"/>
    <n v="4"/>
    <m/>
    <m/>
    <n v="3.968253968253968E-2"/>
  </r>
  <r>
    <x v="2"/>
    <x v="6"/>
    <n v="89"/>
    <n v="28"/>
    <n v="2"/>
    <m/>
    <m/>
    <n v="0.16853932584269662"/>
  </r>
  <r>
    <x v="2"/>
    <x v="7"/>
    <n v="89"/>
    <n v="2"/>
    <n v="2"/>
    <m/>
    <m/>
    <n v="2.247191011235955E-2"/>
  </r>
  <r>
    <x v="2"/>
    <x v="8"/>
    <n v="83"/>
    <n v="1"/>
    <n v="7"/>
    <m/>
    <m/>
    <n v="4.8192771084337352E-2"/>
  </r>
  <r>
    <x v="2"/>
    <x v="9"/>
    <n v="78"/>
    <n v="0"/>
    <n v="5"/>
    <m/>
    <m/>
    <n v="3.2051282051282048E-2"/>
  </r>
  <r>
    <x v="2"/>
    <x v="10"/>
    <n v="78"/>
    <n v="0"/>
    <n v="0"/>
    <m/>
    <m/>
    <n v="0"/>
  </r>
  <r>
    <x v="2"/>
    <x v="11"/>
    <n v="77"/>
    <n v="0"/>
    <n v="1"/>
    <m/>
    <m/>
    <n v="6.4935064935064939E-3"/>
  </r>
  <r>
    <x v="3"/>
    <x v="0"/>
    <n v="76"/>
    <n v="0"/>
    <n v="1"/>
    <m/>
    <m/>
    <n v="6.5789473684210523E-3"/>
  </r>
  <r>
    <x v="3"/>
    <x v="1"/>
    <n v="79"/>
    <n v="5"/>
    <n v="2"/>
    <m/>
    <m/>
    <n v="4.4303797468354431E-2"/>
  </r>
  <r>
    <x v="3"/>
    <x v="2"/>
    <n v="78"/>
    <n v="1"/>
    <n v="2"/>
    <m/>
    <m/>
    <n v="1.9230769230769232E-2"/>
  </r>
  <r>
    <x v="3"/>
    <x v="3"/>
    <n v="55"/>
    <n v="1"/>
    <n v="24"/>
    <m/>
    <m/>
    <n v="0.22727272727272727"/>
  </r>
  <r>
    <x v="3"/>
    <x v="4"/>
    <n v="45"/>
    <n v="0"/>
    <n v="10"/>
    <m/>
    <m/>
    <n v="0.1111111111111111"/>
  </r>
  <r>
    <x v="3"/>
    <x v="5"/>
    <n v="45"/>
    <n v="0"/>
    <n v="0"/>
    <m/>
    <m/>
    <n v="0"/>
  </r>
  <r>
    <x v="3"/>
    <x v="6"/>
    <n v="56"/>
    <n v="12"/>
    <n v="1"/>
    <m/>
    <m/>
    <n v="0.11607142857142858"/>
  </r>
  <r>
    <x v="3"/>
    <x v="7"/>
    <n v="53"/>
    <n v="1"/>
    <n v="4"/>
    <m/>
    <m/>
    <n v="4.716981132075472E-2"/>
  </r>
  <r>
    <x v="3"/>
    <x v="8"/>
    <n v="51"/>
    <n v="5"/>
    <n v="7"/>
    <m/>
    <m/>
    <n v="0.11764705882352941"/>
  </r>
  <r>
    <x v="3"/>
    <x v="9"/>
    <n v="49"/>
    <n v="0"/>
    <n v="2"/>
    <m/>
    <m/>
    <n v="2.0408163265306121E-2"/>
  </r>
  <r>
    <x v="3"/>
    <x v="10"/>
    <n v="65"/>
    <n v="17"/>
    <n v="1"/>
    <m/>
    <m/>
    <n v="0.13846153846153847"/>
  </r>
  <r>
    <x v="3"/>
    <x v="11"/>
    <n v="56"/>
    <n v="0"/>
    <n v="9"/>
    <m/>
    <m/>
    <n v="8.0357142857142863E-2"/>
  </r>
  <r>
    <x v="4"/>
    <x v="0"/>
    <n v="67"/>
    <n v="11"/>
    <n v="0"/>
    <m/>
    <m/>
    <n v="8.2089552238805971E-2"/>
  </r>
  <r>
    <x v="4"/>
    <x v="1"/>
    <n v="68"/>
    <n v="7"/>
    <n v="6"/>
    <m/>
    <m/>
    <n v="9.5588235294117641E-2"/>
  </r>
  <r>
    <x v="4"/>
    <x v="2"/>
    <n v="74"/>
    <n v="10"/>
    <n v="4"/>
    <m/>
    <m/>
    <n v="9.45945945945946E-2"/>
  </r>
  <r>
    <x v="4"/>
    <x v="3"/>
    <n v="69"/>
    <n v="1"/>
    <n v="6"/>
    <m/>
    <m/>
    <n v="5.0724637681159424E-2"/>
  </r>
  <r>
    <x v="4"/>
    <x v="4"/>
    <n v="64"/>
    <n v="15"/>
    <n v="20"/>
    <m/>
    <m/>
    <n v="0.2734375"/>
  </r>
  <r>
    <x v="4"/>
    <x v="5"/>
    <n v="66"/>
    <n v="6"/>
    <n v="4"/>
    <m/>
    <m/>
    <n v="7.575757575757576E-2"/>
  </r>
  <r>
    <x v="4"/>
    <x v="6"/>
    <n v="70"/>
    <n v="5"/>
    <n v="1"/>
    <m/>
    <m/>
    <n v="4.2857142857142858E-2"/>
  </r>
  <r>
    <x v="4"/>
    <x v="7"/>
    <n v="74"/>
    <n v="8"/>
    <n v="4"/>
    <m/>
    <m/>
    <n v="8.1081081081081086E-2"/>
  </r>
  <r>
    <x v="4"/>
    <x v="8"/>
    <n v="73"/>
    <n v="8"/>
    <n v="9"/>
    <m/>
    <m/>
    <n v="0.11643835616438356"/>
  </r>
  <r>
    <x v="4"/>
    <x v="9"/>
    <n v="87"/>
    <n v="20"/>
    <n v="6"/>
    <m/>
    <m/>
    <n v="0.14942528735632185"/>
  </r>
  <r>
    <x v="4"/>
    <x v="10"/>
    <n v="79"/>
    <n v="1"/>
    <n v="9"/>
    <m/>
    <m/>
    <n v="6.3291139240506333E-2"/>
  </r>
  <r>
    <x v="4"/>
    <x v="11"/>
    <n v="75"/>
    <n v="0"/>
    <n v="4"/>
    <m/>
    <m/>
    <n v="2.6666666666666668E-2"/>
  </r>
  <r>
    <x v="5"/>
    <x v="0"/>
    <n v="73"/>
    <n v="3"/>
    <n v="5"/>
    <m/>
    <m/>
    <n v="5.4794520547945202E-2"/>
  </r>
  <r>
    <x v="5"/>
    <x v="1"/>
    <m/>
    <m/>
    <m/>
    <m/>
    <m/>
    <s v="-"/>
  </r>
  <r>
    <x v="5"/>
    <x v="2"/>
    <m/>
    <m/>
    <m/>
    <m/>
    <m/>
    <s v="-"/>
  </r>
  <r>
    <x v="5"/>
    <x v="3"/>
    <m/>
    <m/>
    <m/>
    <m/>
    <m/>
    <s v="-"/>
  </r>
  <r>
    <x v="5"/>
    <x v="4"/>
    <m/>
    <m/>
    <m/>
    <m/>
    <m/>
    <s v="-"/>
  </r>
  <r>
    <x v="5"/>
    <x v="5"/>
    <m/>
    <m/>
    <m/>
    <m/>
    <m/>
    <s v="-"/>
  </r>
  <r>
    <x v="5"/>
    <x v="6"/>
    <m/>
    <m/>
    <m/>
    <m/>
    <m/>
    <s v="-"/>
  </r>
  <r>
    <x v="5"/>
    <x v="7"/>
    <m/>
    <m/>
    <m/>
    <m/>
    <m/>
    <s v="-"/>
  </r>
  <r>
    <x v="5"/>
    <x v="8"/>
    <m/>
    <m/>
    <m/>
    <m/>
    <m/>
    <s v="-"/>
  </r>
  <r>
    <x v="5"/>
    <x v="9"/>
    <m/>
    <m/>
    <m/>
    <m/>
    <m/>
    <s v="-"/>
  </r>
  <r>
    <x v="5"/>
    <x v="10"/>
    <m/>
    <m/>
    <m/>
    <m/>
    <m/>
    <s v="-"/>
  </r>
  <r>
    <x v="5"/>
    <x v="11"/>
    <m/>
    <m/>
    <m/>
    <m/>
    <m/>
    <s v="-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1">
  <r>
    <s v="Funcionário 01"/>
    <d v="1974-10-06T00:00:00"/>
    <x v="0"/>
    <s v="03/04/2014"/>
    <x v="0"/>
    <x v="0"/>
    <x v="0"/>
    <x v="0"/>
    <x v="0"/>
    <x v="0"/>
  </r>
  <r>
    <s v="Funcionário 02"/>
    <d v="1971-08-07T00:00:00"/>
    <x v="1"/>
    <s v="11/03/2014"/>
    <x v="1"/>
    <x v="0"/>
    <x v="1"/>
    <x v="1"/>
    <x v="1"/>
    <x v="0"/>
  </r>
  <r>
    <s v="Funcionário 03"/>
    <d v="1984-10-17T00:00:00"/>
    <x v="2"/>
    <s v="30/09/2015"/>
    <x v="2"/>
    <x v="1"/>
    <x v="0"/>
    <x v="1"/>
    <x v="2"/>
    <x v="0"/>
  </r>
  <r>
    <s v="Funcionário 04"/>
    <d v="1969-07-15T00:00:00"/>
    <x v="3"/>
    <s v="30/11/2015"/>
    <x v="3"/>
    <x v="1"/>
    <x v="1"/>
    <x v="2"/>
    <x v="3"/>
    <x v="0"/>
  </r>
  <r>
    <s v="Funcionário 05"/>
    <d v="1992-09-25T00:00:00"/>
    <x v="4"/>
    <s v="05/02/2016"/>
    <x v="4"/>
    <x v="2"/>
    <x v="2"/>
    <x v="2"/>
    <x v="4"/>
    <x v="0"/>
  </r>
  <r>
    <s v="Funcionário 06"/>
    <d v="1969-03-09T00:00:00"/>
    <x v="5"/>
    <s v="09/08/2016"/>
    <x v="5"/>
    <x v="2"/>
    <x v="3"/>
    <x v="2"/>
    <x v="5"/>
    <x v="0"/>
  </r>
  <r>
    <s v="Funcionário 07"/>
    <d v="1996-07-12T00:00:00"/>
    <x v="6"/>
    <m/>
    <x v="6"/>
    <x v="3"/>
    <x v="2"/>
    <x v="3"/>
    <x v="5"/>
    <x v="1"/>
  </r>
  <r>
    <s v="Funcionário 08"/>
    <d v="1989-04-14T00:00:00"/>
    <x v="6"/>
    <m/>
    <x v="6"/>
    <x v="3"/>
    <x v="2"/>
    <x v="3"/>
    <x v="5"/>
    <x v="1"/>
  </r>
  <r>
    <s v="Funcionário 09"/>
    <d v="2000-06-07T00:00:00"/>
    <x v="6"/>
    <s v="16/05/2022"/>
    <x v="7"/>
    <x v="4"/>
    <x v="2"/>
    <x v="3"/>
    <x v="5"/>
    <x v="0"/>
  </r>
  <r>
    <s v="Funcionário 10"/>
    <d v="1997-06-10T00:00:00"/>
    <x v="6"/>
    <s v="19/07/2021"/>
    <x v="8"/>
    <x v="5"/>
    <x v="2"/>
    <x v="3"/>
    <x v="6"/>
    <x v="0"/>
  </r>
  <r>
    <s v="Funcionário 11"/>
    <d v="1998-05-09T00:00:00"/>
    <x v="6"/>
    <s v="18/01/2021"/>
    <x v="9"/>
    <x v="5"/>
    <x v="2"/>
    <x v="3"/>
    <x v="7"/>
    <x v="0"/>
  </r>
  <r>
    <s v="Funcionário 12"/>
    <d v="1996-08-31T00:00:00"/>
    <x v="6"/>
    <s v="11/09/2020"/>
    <x v="2"/>
    <x v="6"/>
    <x v="2"/>
    <x v="3"/>
    <x v="8"/>
    <x v="0"/>
  </r>
  <r>
    <s v="Funcionário 13"/>
    <d v="1997-07-24T00:00:00"/>
    <x v="6"/>
    <m/>
    <x v="6"/>
    <x v="3"/>
    <x v="2"/>
    <x v="3"/>
    <x v="0"/>
    <x v="1"/>
  </r>
  <r>
    <s v="Funcionário 14"/>
    <d v="1997-08-10T00:00:00"/>
    <x v="6"/>
    <s v="04/05/2020"/>
    <x v="7"/>
    <x v="6"/>
    <x v="2"/>
    <x v="3"/>
    <x v="0"/>
    <x v="0"/>
  </r>
  <r>
    <s v="Funcionário 15"/>
    <d v="1989-09-08T00:00:00"/>
    <x v="6"/>
    <s v="25/09/2021"/>
    <x v="2"/>
    <x v="5"/>
    <x v="2"/>
    <x v="3"/>
    <x v="1"/>
    <x v="0"/>
  </r>
  <r>
    <s v="Funcionário 16"/>
    <d v="1979-08-06T00:00:00"/>
    <x v="7"/>
    <s v="23/10/2020"/>
    <x v="10"/>
    <x v="6"/>
    <x v="4"/>
    <x v="3"/>
    <x v="2"/>
    <x v="0"/>
  </r>
  <r>
    <s v="Funcionário 17"/>
    <d v="1991-05-21T00:00:00"/>
    <x v="7"/>
    <s v="12/12/2019"/>
    <x v="11"/>
    <x v="7"/>
    <x v="4"/>
    <x v="3"/>
    <x v="3"/>
    <x v="0"/>
  </r>
  <r>
    <s v="Funcionário 18"/>
    <d v="1997-05-15T00:00:00"/>
    <x v="7"/>
    <s v="01/08/2019"/>
    <x v="5"/>
    <x v="7"/>
    <x v="4"/>
    <x v="3"/>
    <x v="4"/>
    <x v="0"/>
  </r>
  <r>
    <s v="Funcionário 19"/>
    <d v="1992-04-20T00:00:00"/>
    <x v="7"/>
    <s v="18/05/2021"/>
    <x v="7"/>
    <x v="5"/>
    <x v="4"/>
    <x v="3"/>
    <x v="5"/>
    <x v="0"/>
  </r>
  <r>
    <s v="Funcionário 20"/>
    <d v="1993-02-09T00:00:00"/>
    <x v="7"/>
    <s v="01/08/2019"/>
    <x v="5"/>
    <x v="7"/>
    <x v="4"/>
    <x v="3"/>
    <x v="5"/>
    <x v="0"/>
  </r>
  <r>
    <s v="Funcionário 21"/>
    <d v="1964-11-05T00:00:00"/>
    <x v="8"/>
    <s v="10/09/2021"/>
    <x v="2"/>
    <x v="5"/>
    <x v="4"/>
    <x v="3"/>
    <x v="5"/>
    <x v="0"/>
  </r>
  <r>
    <s v="Funcionário 22"/>
    <d v="1983-04-07T00:00:00"/>
    <x v="9"/>
    <s v="11/02/2021"/>
    <x v="4"/>
    <x v="5"/>
    <x v="5"/>
    <x v="3"/>
    <x v="5"/>
    <x v="0"/>
  </r>
  <r>
    <s v="Funcionário 23"/>
    <d v="1983-06-15T00:00:00"/>
    <x v="9"/>
    <s v="16/05/2022"/>
    <x v="7"/>
    <x v="4"/>
    <x v="5"/>
    <x v="3"/>
    <x v="6"/>
    <x v="0"/>
  </r>
  <r>
    <s v="Funcionário 24"/>
    <d v="1993-06-28T00:00:00"/>
    <x v="10"/>
    <s v="29/02/2020"/>
    <x v="4"/>
    <x v="6"/>
    <x v="5"/>
    <x v="3"/>
    <x v="7"/>
    <x v="0"/>
  </r>
  <r>
    <s v="Funcionário 25"/>
    <d v="1983-06-08T00:00:00"/>
    <x v="11"/>
    <s v="18/09/2019"/>
    <x v="2"/>
    <x v="7"/>
    <x v="5"/>
    <x v="3"/>
    <x v="8"/>
    <x v="0"/>
  </r>
  <r>
    <s v="Funcionário 26"/>
    <d v="1990-08-14T00:00:00"/>
    <x v="11"/>
    <s v="02/10/2019"/>
    <x v="10"/>
    <x v="7"/>
    <x v="5"/>
    <x v="3"/>
    <x v="0"/>
    <x v="0"/>
  </r>
  <r>
    <s v="Funcionário 27"/>
    <d v="1997-01-16T00:00:00"/>
    <x v="11"/>
    <s v="03/11/2020"/>
    <x v="3"/>
    <x v="6"/>
    <x v="5"/>
    <x v="3"/>
    <x v="0"/>
    <x v="0"/>
  </r>
  <r>
    <s v="Funcionário 28"/>
    <d v="1988-06-03T00:00:00"/>
    <x v="11"/>
    <s v="02/10/2019"/>
    <x v="10"/>
    <x v="7"/>
    <x v="5"/>
    <x v="3"/>
    <x v="1"/>
    <x v="0"/>
  </r>
  <r>
    <s v="Funcionário 29"/>
    <d v="1989-05-17T00:00:00"/>
    <x v="11"/>
    <s v="28/04/2022"/>
    <x v="0"/>
    <x v="4"/>
    <x v="5"/>
    <x v="3"/>
    <x v="2"/>
    <x v="0"/>
  </r>
  <r>
    <s v="Funcionário 30"/>
    <d v="1998-09-24T00:00:00"/>
    <x v="11"/>
    <s v="29/03/2021"/>
    <x v="1"/>
    <x v="5"/>
    <x v="5"/>
    <x v="3"/>
    <x v="3"/>
    <x v="0"/>
  </r>
  <r>
    <s v="Funcionário 31"/>
    <d v="2002-02-24T00:00:00"/>
    <x v="11"/>
    <s v="24/02/2021"/>
    <x v="4"/>
    <x v="5"/>
    <x v="5"/>
    <x v="3"/>
    <x v="4"/>
    <x v="0"/>
  </r>
  <r>
    <s v="Funcionário 32"/>
    <d v="2001-05-04T00:00:00"/>
    <x v="11"/>
    <s v="03/02/2020"/>
    <x v="4"/>
    <x v="6"/>
    <x v="5"/>
    <x v="3"/>
    <x v="5"/>
    <x v="0"/>
  </r>
  <r>
    <s v="Funcionário 33"/>
    <d v="2001-12-30T00:00:00"/>
    <x v="11"/>
    <s v="16/11/2019"/>
    <x v="3"/>
    <x v="7"/>
    <x v="5"/>
    <x v="3"/>
    <x v="5"/>
    <x v="0"/>
  </r>
  <r>
    <s v="Funcionário 34"/>
    <d v="1985-07-17T00:00:00"/>
    <x v="11"/>
    <s v="12/12/2019"/>
    <x v="11"/>
    <x v="7"/>
    <x v="5"/>
    <x v="3"/>
    <x v="5"/>
    <x v="0"/>
  </r>
  <r>
    <s v="Funcionário 35"/>
    <d v="1988-10-13T00:00:00"/>
    <x v="11"/>
    <s v="04/05/2020"/>
    <x v="7"/>
    <x v="6"/>
    <x v="5"/>
    <x v="3"/>
    <x v="5"/>
    <x v="0"/>
  </r>
  <r>
    <s v="Funcionário 36"/>
    <d v="1996-02-22T00:00:00"/>
    <x v="11"/>
    <s v="28/04/2022"/>
    <x v="0"/>
    <x v="4"/>
    <x v="5"/>
    <x v="3"/>
    <x v="6"/>
    <x v="0"/>
  </r>
  <r>
    <s v="Funcionário 37"/>
    <d v="1998-05-06T00:00:00"/>
    <x v="11"/>
    <s v="29/03/2021"/>
    <x v="1"/>
    <x v="5"/>
    <x v="5"/>
    <x v="3"/>
    <x v="7"/>
    <x v="0"/>
  </r>
  <r>
    <s v="Funcionário 38"/>
    <d v="1995-05-05T00:00:00"/>
    <x v="11"/>
    <s v="02/10/2019"/>
    <x v="10"/>
    <x v="7"/>
    <x v="5"/>
    <x v="3"/>
    <x v="8"/>
    <x v="0"/>
  </r>
  <r>
    <s v="Funcionário 39"/>
    <d v="1988-07-14T00:00:00"/>
    <x v="11"/>
    <s v="24/02/2021"/>
    <x v="4"/>
    <x v="5"/>
    <x v="5"/>
    <x v="3"/>
    <x v="0"/>
    <x v="0"/>
  </r>
  <r>
    <s v="Funcionário 40"/>
    <d v="1996-07-30T00:00:00"/>
    <x v="11"/>
    <m/>
    <x v="6"/>
    <x v="3"/>
    <x v="5"/>
    <x v="3"/>
    <x v="0"/>
    <x v="1"/>
  </r>
  <r>
    <s v="Funcionário 41"/>
    <d v="2001-04-25T00:00:00"/>
    <x v="11"/>
    <s v="20/09/2019"/>
    <x v="2"/>
    <x v="7"/>
    <x v="5"/>
    <x v="3"/>
    <x v="1"/>
    <x v="0"/>
  </r>
  <r>
    <s v="Funcionário 42"/>
    <d v="1987-07-19T00:00:00"/>
    <x v="12"/>
    <s v="07/12/2020"/>
    <x v="11"/>
    <x v="6"/>
    <x v="5"/>
    <x v="3"/>
    <x v="2"/>
    <x v="0"/>
  </r>
  <r>
    <s v="Funcionário 43"/>
    <d v="1988-04-14T00:00:00"/>
    <x v="12"/>
    <s v="05/10/2020"/>
    <x v="10"/>
    <x v="6"/>
    <x v="5"/>
    <x v="3"/>
    <x v="3"/>
    <x v="0"/>
  </r>
  <r>
    <s v="Funcionário 44"/>
    <d v="1973-02-07T00:00:00"/>
    <x v="12"/>
    <s v="06/11/2019"/>
    <x v="3"/>
    <x v="7"/>
    <x v="5"/>
    <x v="3"/>
    <x v="4"/>
    <x v="0"/>
  </r>
  <r>
    <s v="Funcionário 45"/>
    <d v="1999-08-09T00:00:00"/>
    <x v="12"/>
    <s v="05/09/2022"/>
    <x v="2"/>
    <x v="4"/>
    <x v="5"/>
    <x v="3"/>
    <x v="5"/>
    <x v="0"/>
  </r>
  <r>
    <s v="Funcionário 46"/>
    <d v="1990-12-13T00:00:00"/>
    <x v="13"/>
    <s v="26/08/2020"/>
    <x v="5"/>
    <x v="6"/>
    <x v="5"/>
    <x v="3"/>
    <x v="5"/>
    <x v="0"/>
  </r>
  <r>
    <s v="Funcionário 47"/>
    <d v="1996-12-13T00:00:00"/>
    <x v="14"/>
    <s v="16/07/2020"/>
    <x v="8"/>
    <x v="6"/>
    <x v="5"/>
    <x v="3"/>
    <x v="5"/>
    <x v="0"/>
  </r>
  <r>
    <s v="Funcionário 48"/>
    <d v="1977-03-19T00:00:00"/>
    <x v="14"/>
    <m/>
    <x v="6"/>
    <x v="3"/>
    <x v="5"/>
    <x v="3"/>
    <x v="5"/>
    <x v="1"/>
  </r>
  <r>
    <s v="Funcionário 49"/>
    <d v="1996-08-12T00:00:00"/>
    <x v="14"/>
    <s v="03/02/2020"/>
    <x v="4"/>
    <x v="6"/>
    <x v="5"/>
    <x v="3"/>
    <x v="6"/>
    <x v="0"/>
  </r>
  <r>
    <s v="Funcionário 50"/>
    <d v="1997-09-09T00:00:00"/>
    <x v="14"/>
    <s v="12/12/2019"/>
    <x v="11"/>
    <x v="7"/>
    <x v="5"/>
    <x v="3"/>
    <x v="7"/>
    <x v="0"/>
  </r>
  <r>
    <s v="Funcionário 51"/>
    <d v="1998-07-15T00:00:00"/>
    <x v="14"/>
    <s v="02/10/2019"/>
    <x v="10"/>
    <x v="7"/>
    <x v="5"/>
    <x v="3"/>
    <x v="8"/>
    <x v="0"/>
  </r>
  <r>
    <s v="Funcionário 52"/>
    <d v="1998-03-20T00:00:00"/>
    <x v="14"/>
    <s v="03/09/2019"/>
    <x v="2"/>
    <x v="7"/>
    <x v="5"/>
    <x v="3"/>
    <x v="0"/>
    <x v="0"/>
  </r>
  <r>
    <s v="Funcionário 53"/>
    <d v="1997-03-07T00:00:00"/>
    <x v="14"/>
    <s v="02/03/2021"/>
    <x v="1"/>
    <x v="5"/>
    <x v="5"/>
    <x v="3"/>
    <x v="0"/>
    <x v="0"/>
  </r>
  <r>
    <s v="Funcionário 54"/>
    <d v="1997-11-20T00:00:00"/>
    <x v="14"/>
    <s v="03/02/2020"/>
    <x v="4"/>
    <x v="6"/>
    <x v="5"/>
    <x v="3"/>
    <x v="1"/>
    <x v="0"/>
  </r>
  <r>
    <s v="Funcionário 55"/>
    <d v="2001-02-10T00:00:00"/>
    <x v="15"/>
    <s v="02/10/2019"/>
    <x v="10"/>
    <x v="7"/>
    <x v="6"/>
    <x v="3"/>
    <x v="2"/>
    <x v="0"/>
  </r>
  <r>
    <s v="Funcionário 56"/>
    <d v="1990-03-11T00:00:00"/>
    <x v="15"/>
    <s v="25/02/2021"/>
    <x v="4"/>
    <x v="5"/>
    <x v="6"/>
    <x v="3"/>
    <x v="3"/>
    <x v="0"/>
  </r>
  <r>
    <s v="Funcionário 57"/>
    <d v="1980-06-26T00:00:00"/>
    <x v="15"/>
    <s v="02/10/2019"/>
    <x v="10"/>
    <x v="7"/>
    <x v="6"/>
    <x v="3"/>
    <x v="4"/>
    <x v="0"/>
  </r>
  <r>
    <s v="Funcionário 58"/>
    <d v="1996-05-20T00:00:00"/>
    <x v="15"/>
    <s v="19/09/2019"/>
    <x v="2"/>
    <x v="7"/>
    <x v="6"/>
    <x v="3"/>
    <x v="5"/>
    <x v="0"/>
  </r>
  <r>
    <s v="Funcionário 59"/>
    <d v="2001-10-14T00:00:00"/>
    <x v="15"/>
    <s v="03/02/2020"/>
    <x v="4"/>
    <x v="6"/>
    <x v="6"/>
    <x v="3"/>
    <x v="5"/>
    <x v="0"/>
  </r>
  <r>
    <s v="Funcionário 60"/>
    <d v="1999-04-27T00:00:00"/>
    <x v="15"/>
    <s v="07/11/2019"/>
    <x v="3"/>
    <x v="7"/>
    <x v="6"/>
    <x v="3"/>
    <x v="5"/>
    <x v="0"/>
  </r>
  <r>
    <s v="Funcionário 61"/>
    <d v="1994-08-05T00:00:00"/>
    <x v="16"/>
    <s v="24/02/2021"/>
    <x v="4"/>
    <x v="5"/>
    <x v="6"/>
    <x v="3"/>
    <x v="5"/>
    <x v="0"/>
  </r>
  <r>
    <s v="Funcionário 62"/>
    <d v="1990-11-30T00:00:00"/>
    <x v="16"/>
    <s v="10/03/2021"/>
    <x v="1"/>
    <x v="5"/>
    <x v="6"/>
    <x v="3"/>
    <x v="6"/>
    <x v="0"/>
  </r>
  <r>
    <s v="Funcionário 63"/>
    <d v="1995-12-30T00:00:00"/>
    <x v="16"/>
    <s v="03/02/2020"/>
    <x v="4"/>
    <x v="6"/>
    <x v="6"/>
    <x v="3"/>
    <x v="7"/>
    <x v="0"/>
  </r>
  <r>
    <s v="Funcionário 64"/>
    <d v="1995-04-12T00:00:00"/>
    <x v="16"/>
    <s v="03/02/2020"/>
    <x v="4"/>
    <x v="6"/>
    <x v="6"/>
    <x v="3"/>
    <x v="8"/>
    <x v="0"/>
  </r>
  <r>
    <s v="Funcionário 65"/>
    <d v="1992-01-14T00:00:00"/>
    <x v="16"/>
    <m/>
    <x v="6"/>
    <x v="3"/>
    <x v="6"/>
    <x v="3"/>
    <x v="0"/>
    <x v="1"/>
  </r>
  <r>
    <s v="Funcionário 66"/>
    <d v="1979-07-10T00:00:00"/>
    <x v="17"/>
    <s v="05/05/2021"/>
    <x v="7"/>
    <x v="5"/>
    <x v="0"/>
    <x v="3"/>
    <x v="0"/>
    <x v="0"/>
  </r>
  <r>
    <s v="Funcionário 67"/>
    <d v="1969-05-18T00:00:00"/>
    <x v="17"/>
    <s v="08/05/2020"/>
    <x v="7"/>
    <x v="6"/>
    <x v="0"/>
    <x v="3"/>
    <x v="1"/>
    <x v="0"/>
  </r>
  <r>
    <s v="Funcionário 68"/>
    <d v="1980-03-19T00:00:00"/>
    <x v="18"/>
    <s v="29/03/2021"/>
    <x v="1"/>
    <x v="5"/>
    <x v="3"/>
    <x v="3"/>
    <x v="2"/>
    <x v="0"/>
  </r>
  <r>
    <s v="Funcionário 69"/>
    <d v="1986-03-24T00:00:00"/>
    <x v="18"/>
    <s v="17/03/2021"/>
    <x v="1"/>
    <x v="5"/>
    <x v="3"/>
    <x v="3"/>
    <x v="3"/>
    <x v="0"/>
  </r>
  <r>
    <s v="Funcionário 70"/>
    <d v="2001-01-25T00:00:00"/>
    <x v="18"/>
    <s v="25/02/2021"/>
    <x v="4"/>
    <x v="5"/>
    <x v="3"/>
    <x v="3"/>
    <x v="4"/>
    <x v="0"/>
  </r>
  <r>
    <s v="Funcionário 71"/>
    <d v="2001-02-23T00:00:00"/>
    <x v="18"/>
    <s v="24/02/2021"/>
    <x v="4"/>
    <x v="5"/>
    <x v="3"/>
    <x v="3"/>
    <x v="5"/>
    <x v="0"/>
  </r>
  <r>
    <s v="Funcionário 72"/>
    <d v="1996-07-26T00:00:00"/>
    <x v="18"/>
    <s v="29/01/2020"/>
    <x v="9"/>
    <x v="6"/>
    <x v="3"/>
    <x v="3"/>
    <x v="5"/>
    <x v="0"/>
  </r>
  <r>
    <s v="Funcionário 73"/>
    <d v="1997-05-17T00:00:00"/>
    <x v="18"/>
    <s v="13/09/2021"/>
    <x v="2"/>
    <x v="5"/>
    <x v="3"/>
    <x v="3"/>
    <x v="5"/>
    <x v="0"/>
  </r>
  <r>
    <s v="Funcionário 74"/>
    <d v="1995-03-27T00:00:00"/>
    <x v="18"/>
    <s v="29/01/2020"/>
    <x v="9"/>
    <x v="6"/>
    <x v="3"/>
    <x v="3"/>
    <x v="5"/>
    <x v="0"/>
  </r>
  <r>
    <s v="Funcionário 75"/>
    <d v="1979-06-25T00:00:00"/>
    <x v="18"/>
    <s v="29/01/2020"/>
    <x v="9"/>
    <x v="6"/>
    <x v="3"/>
    <x v="3"/>
    <x v="6"/>
    <x v="0"/>
  </r>
  <r>
    <s v="Funcionário 76"/>
    <d v="1985-04-10T00:00:00"/>
    <x v="18"/>
    <s v="16/07/2020"/>
    <x v="8"/>
    <x v="6"/>
    <x v="3"/>
    <x v="3"/>
    <x v="7"/>
    <x v="0"/>
  </r>
  <r>
    <s v="Funcionário 77"/>
    <d v="1991-03-07T00:00:00"/>
    <x v="18"/>
    <s v="05/03/2021"/>
    <x v="1"/>
    <x v="5"/>
    <x v="3"/>
    <x v="3"/>
    <x v="8"/>
    <x v="0"/>
  </r>
  <r>
    <s v="Funcionário 78"/>
    <d v="1984-09-08T00:00:00"/>
    <x v="18"/>
    <s v="10/02/2020"/>
    <x v="4"/>
    <x v="6"/>
    <x v="3"/>
    <x v="3"/>
    <x v="0"/>
    <x v="0"/>
  </r>
  <r>
    <s v="Funcionário 79"/>
    <d v="1983-03-10T00:00:00"/>
    <x v="18"/>
    <s v="29/01/2020"/>
    <x v="9"/>
    <x v="6"/>
    <x v="3"/>
    <x v="3"/>
    <x v="0"/>
    <x v="0"/>
  </r>
  <r>
    <s v="Funcionário 80"/>
    <d v="1978-02-11T00:00:00"/>
    <x v="18"/>
    <s v="29/01/2020"/>
    <x v="9"/>
    <x v="6"/>
    <x v="3"/>
    <x v="3"/>
    <x v="1"/>
    <x v="0"/>
  </r>
  <r>
    <s v="Funcionário 81"/>
    <d v="2001-03-31T00:00:00"/>
    <x v="18"/>
    <s v="01/12/2021"/>
    <x v="11"/>
    <x v="5"/>
    <x v="3"/>
    <x v="3"/>
    <x v="2"/>
    <x v="0"/>
  </r>
  <r>
    <s v="Funcionário 82"/>
    <d v="1999-08-14T00:00:00"/>
    <x v="18"/>
    <m/>
    <x v="6"/>
    <x v="3"/>
    <x v="3"/>
    <x v="3"/>
    <x v="3"/>
    <x v="1"/>
  </r>
  <r>
    <s v="Funcionário 83"/>
    <d v="1987-03-16T00:00:00"/>
    <x v="18"/>
    <m/>
    <x v="6"/>
    <x v="3"/>
    <x v="3"/>
    <x v="3"/>
    <x v="4"/>
    <x v="1"/>
  </r>
  <r>
    <s v="Funcionário 84"/>
    <d v="2000-12-02T00:00:00"/>
    <x v="18"/>
    <s v="29/01/2020"/>
    <x v="9"/>
    <x v="6"/>
    <x v="3"/>
    <x v="3"/>
    <x v="5"/>
    <x v="0"/>
  </r>
  <r>
    <s v="Funcionário 85"/>
    <d v="1983-12-16T00:00:00"/>
    <x v="18"/>
    <s v="29/01/2020"/>
    <x v="9"/>
    <x v="6"/>
    <x v="3"/>
    <x v="3"/>
    <x v="5"/>
    <x v="0"/>
  </r>
  <r>
    <s v="Funcionário 86"/>
    <d v="1983-03-10T00:00:00"/>
    <x v="18"/>
    <s v="29/01/2020"/>
    <x v="9"/>
    <x v="6"/>
    <x v="3"/>
    <x v="3"/>
    <x v="5"/>
    <x v="0"/>
  </r>
  <r>
    <s v="Funcionário 87"/>
    <d v="1996-11-25T00:00:00"/>
    <x v="18"/>
    <m/>
    <x v="6"/>
    <x v="3"/>
    <x v="3"/>
    <x v="3"/>
    <x v="5"/>
    <x v="1"/>
  </r>
  <r>
    <s v="Funcionário 88"/>
    <d v="1981-05-13T00:00:00"/>
    <x v="18"/>
    <s v="06/11/2020"/>
    <x v="3"/>
    <x v="6"/>
    <x v="3"/>
    <x v="3"/>
    <x v="6"/>
    <x v="0"/>
  </r>
  <r>
    <s v="Funcionário 89"/>
    <d v="1989-01-15T00:00:00"/>
    <x v="18"/>
    <s v="23/12/2023"/>
    <x v="11"/>
    <x v="8"/>
    <x v="3"/>
    <x v="3"/>
    <x v="7"/>
    <x v="0"/>
  </r>
  <r>
    <s v="Funcionário 90"/>
    <d v="1985-01-04T00:00:00"/>
    <x v="18"/>
    <s v="13/11/2020"/>
    <x v="3"/>
    <x v="6"/>
    <x v="3"/>
    <x v="3"/>
    <x v="8"/>
    <x v="0"/>
  </r>
  <r>
    <s v="Funcionário 91"/>
    <d v="1982-05-01T00:00:00"/>
    <x v="18"/>
    <s v="31/03/2021"/>
    <x v="1"/>
    <x v="5"/>
    <x v="3"/>
    <x v="3"/>
    <x v="0"/>
    <x v="0"/>
  </r>
  <r>
    <s v="Funcionário 92"/>
    <d v="1986-07-21T00:00:00"/>
    <x v="19"/>
    <m/>
    <x v="6"/>
    <x v="3"/>
    <x v="3"/>
    <x v="3"/>
    <x v="0"/>
    <x v="1"/>
  </r>
  <r>
    <s v="Funcionário 93"/>
    <d v="1981-07-01T00:00:00"/>
    <x v="19"/>
    <s v="08/03/2021"/>
    <x v="1"/>
    <x v="5"/>
    <x v="3"/>
    <x v="3"/>
    <x v="1"/>
    <x v="0"/>
  </r>
  <r>
    <s v="Funcionário 94"/>
    <d v="1979-01-24T00:00:00"/>
    <x v="19"/>
    <s v="02/03/2023"/>
    <x v="1"/>
    <x v="8"/>
    <x v="3"/>
    <x v="3"/>
    <x v="2"/>
    <x v="0"/>
  </r>
  <r>
    <s v="Funcionário 95"/>
    <d v="1991-07-26T00:00:00"/>
    <x v="19"/>
    <s v="30/01/2020"/>
    <x v="9"/>
    <x v="6"/>
    <x v="3"/>
    <x v="3"/>
    <x v="3"/>
    <x v="0"/>
  </r>
  <r>
    <s v="Funcionário 96"/>
    <d v="1983-02-09T00:00:00"/>
    <x v="19"/>
    <s v="29/03/2021"/>
    <x v="1"/>
    <x v="5"/>
    <x v="3"/>
    <x v="3"/>
    <x v="4"/>
    <x v="0"/>
  </r>
  <r>
    <s v="Funcionário 97"/>
    <d v="1995-03-18T00:00:00"/>
    <x v="19"/>
    <s v="22/08/2020"/>
    <x v="5"/>
    <x v="6"/>
    <x v="3"/>
    <x v="3"/>
    <x v="5"/>
    <x v="0"/>
  </r>
  <r>
    <s v="Funcionário 98"/>
    <d v="1981-06-27T00:00:00"/>
    <x v="19"/>
    <m/>
    <x v="6"/>
    <x v="3"/>
    <x v="3"/>
    <x v="3"/>
    <x v="5"/>
    <x v="1"/>
  </r>
  <r>
    <s v="Funcionário 99"/>
    <d v="1989-06-20T00:00:00"/>
    <x v="19"/>
    <m/>
    <x v="6"/>
    <x v="3"/>
    <x v="3"/>
    <x v="3"/>
    <x v="5"/>
    <x v="1"/>
  </r>
  <r>
    <s v="Funcionário 100"/>
    <d v="2001-06-18T00:00:00"/>
    <x v="19"/>
    <s v="30/01/2020"/>
    <x v="9"/>
    <x v="6"/>
    <x v="3"/>
    <x v="3"/>
    <x v="5"/>
    <x v="0"/>
  </r>
  <r>
    <s v="Funcionário 101"/>
    <d v="2000-01-23T00:00:00"/>
    <x v="19"/>
    <s v="30/01/2020"/>
    <x v="9"/>
    <x v="6"/>
    <x v="3"/>
    <x v="3"/>
    <x v="6"/>
    <x v="0"/>
  </r>
  <r>
    <s v="Funcionário 102"/>
    <d v="1991-05-09T00:00:00"/>
    <x v="19"/>
    <s v="08/03/2021"/>
    <x v="1"/>
    <x v="5"/>
    <x v="3"/>
    <x v="3"/>
    <x v="7"/>
    <x v="0"/>
  </r>
  <r>
    <s v="Funcionário 103"/>
    <d v="1998-07-06T00:00:00"/>
    <x v="19"/>
    <s v="15/03/2020"/>
    <x v="1"/>
    <x v="6"/>
    <x v="3"/>
    <x v="3"/>
    <x v="8"/>
    <x v="0"/>
  </r>
  <r>
    <s v="Funcionário 104"/>
    <d v="1971-11-11T00:00:00"/>
    <x v="19"/>
    <s v="30/07/2021"/>
    <x v="8"/>
    <x v="5"/>
    <x v="3"/>
    <x v="3"/>
    <x v="0"/>
    <x v="0"/>
  </r>
  <r>
    <s v="Funcionário 105"/>
    <d v="1995-01-06T00:00:00"/>
    <x v="19"/>
    <s v="15/03/2020"/>
    <x v="1"/>
    <x v="6"/>
    <x v="3"/>
    <x v="3"/>
    <x v="0"/>
    <x v="0"/>
  </r>
  <r>
    <s v="Funcionário 106"/>
    <d v="1977-05-14T00:00:00"/>
    <x v="19"/>
    <s v="06/04/2021"/>
    <x v="0"/>
    <x v="5"/>
    <x v="3"/>
    <x v="3"/>
    <x v="1"/>
    <x v="0"/>
  </r>
  <r>
    <s v="Funcionário 107"/>
    <d v="1985-02-02T00:00:00"/>
    <x v="19"/>
    <s v="30/01/2020"/>
    <x v="9"/>
    <x v="6"/>
    <x v="3"/>
    <x v="3"/>
    <x v="2"/>
    <x v="0"/>
  </r>
  <r>
    <s v="Funcionário 108"/>
    <d v="1979-08-08T00:00:00"/>
    <x v="19"/>
    <s v="29/03/2021"/>
    <x v="1"/>
    <x v="5"/>
    <x v="3"/>
    <x v="3"/>
    <x v="3"/>
    <x v="0"/>
  </r>
  <r>
    <s v="Funcionário 109"/>
    <d v="1998-04-21T00:00:00"/>
    <x v="19"/>
    <s v="30/01/2020"/>
    <x v="9"/>
    <x v="6"/>
    <x v="3"/>
    <x v="3"/>
    <x v="4"/>
    <x v="0"/>
  </r>
  <r>
    <s v="Funcionário 110"/>
    <d v="2000-06-28T00:00:00"/>
    <x v="19"/>
    <s v="30/01/2020"/>
    <x v="9"/>
    <x v="6"/>
    <x v="3"/>
    <x v="3"/>
    <x v="5"/>
    <x v="0"/>
  </r>
  <r>
    <s v="Funcionário 111"/>
    <d v="1998-11-24T00:00:00"/>
    <x v="19"/>
    <m/>
    <x v="6"/>
    <x v="3"/>
    <x v="3"/>
    <x v="3"/>
    <x v="5"/>
    <x v="1"/>
  </r>
  <r>
    <s v="Funcionário 112"/>
    <d v="1998-05-20T00:00:00"/>
    <x v="19"/>
    <s v="30/01/2020"/>
    <x v="9"/>
    <x v="6"/>
    <x v="3"/>
    <x v="3"/>
    <x v="5"/>
    <x v="0"/>
  </r>
  <r>
    <s v="Funcionário 113"/>
    <d v="1992-03-29T00:00:00"/>
    <x v="19"/>
    <s v="11/09/2020"/>
    <x v="2"/>
    <x v="6"/>
    <x v="3"/>
    <x v="3"/>
    <x v="5"/>
    <x v="0"/>
  </r>
  <r>
    <s v="Funcionário 114"/>
    <d v="1986-12-24T00:00:00"/>
    <x v="19"/>
    <s v="30/01/2020"/>
    <x v="9"/>
    <x v="6"/>
    <x v="3"/>
    <x v="3"/>
    <x v="6"/>
    <x v="0"/>
  </r>
  <r>
    <s v="Funcionário 115"/>
    <d v="1998-12-21T00:00:00"/>
    <x v="19"/>
    <s v="28/09/2020"/>
    <x v="2"/>
    <x v="6"/>
    <x v="3"/>
    <x v="3"/>
    <x v="7"/>
    <x v="0"/>
  </r>
  <r>
    <s v="Funcionário 116"/>
    <d v="1971-10-29T00:00:00"/>
    <x v="19"/>
    <s v="02/09/2020"/>
    <x v="2"/>
    <x v="6"/>
    <x v="3"/>
    <x v="3"/>
    <x v="8"/>
    <x v="0"/>
  </r>
  <r>
    <s v="Funcionário 117"/>
    <d v="1989-01-08T00:00:00"/>
    <x v="20"/>
    <s v="13/10/2020"/>
    <x v="10"/>
    <x v="6"/>
    <x v="7"/>
    <x v="4"/>
    <x v="0"/>
    <x v="0"/>
  </r>
  <r>
    <s v="Funcionário 118"/>
    <d v="2001-01-06T00:00:00"/>
    <x v="21"/>
    <s v="03/06/2021"/>
    <x v="12"/>
    <x v="5"/>
    <x v="1"/>
    <x v="4"/>
    <x v="0"/>
    <x v="0"/>
  </r>
  <r>
    <s v="Funcionário 119"/>
    <d v="1999-07-18T00:00:00"/>
    <x v="22"/>
    <s v="16/07/2020"/>
    <x v="8"/>
    <x v="6"/>
    <x v="1"/>
    <x v="4"/>
    <x v="1"/>
    <x v="0"/>
  </r>
  <r>
    <s v="Funcionário 120"/>
    <d v="1994-09-13T00:00:00"/>
    <x v="22"/>
    <s v="04/04/2020"/>
    <x v="0"/>
    <x v="6"/>
    <x v="1"/>
    <x v="4"/>
    <x v="2"/>
    <x v="0"/>
  </r>
  <r>
    <s v="Funcionário 121"/>
    <d v="1978-11-08T00:00:00"/>
    <x v="22"/>
    <s v="18/03/2022"/>
    <x v="1"/>
    <x v="4"/>
    <x v="1"/>
    <x v="4"/>
    <x v="3"/>
    <x v="0"/>
  </r>
  <r>
    <s v="Funcionário 122"/>
    <d v="1954-01-25T00:00:00"/>
    <x v="23"/>
    <m/>
    <x v="6"/>
    <x v="3"/>
    <x v="8"/>
    <x v="4"/>
    <x v="4"/>
    <x v="1"/>
  </r>
  <r>
    <s v="Funcionário 123"/>
    <d v="1994-12-28T00:00:00"/>
    <x v="24"/>
    <s v="29/06/2020"/>
    <x v="12"/>
    <x v="6"/>
    <x v="2"/>
    <x v="4"/>
    <x v="5"/>
    <x v="0"/>
  </r>
  <r>
    <s v="Funcionário 124"/>
    <d v="1997-06-28T00:00:00"/>
    <x v="24"/>
    <s v="28/04/2022"/>
    <x v="0"/>
    <x v="4"/>
    <x v="2"/>
    <x v="4"/>
    <x v="5"/>
    <x v="0"/>
  </r>
  <r>
    <s v="Funcionário 125"/>
    <d v="1988-03-14T00:00:00"/>
    <x v="24"/>
    <s v="30/04/2020"/>
    <x v="0"/>
    <x v="6"/>
    <x v="2"/>
    <x v="4"/>
    <x v="5"/>
    <x v="0"/>
  </r>
  <r>
    <s v="Funcionário 126"/>
    <d v="1996-09-25T00:00:00"/>
    <x v="24"/>
    <s v="16/07/2020"/>
    <x v="8"/>
    <x v="6"/>
    <x v="2"/>
    <x v="4"/>
    <x v="5"/>
    <x v="0"/>
  </r>
  <r>
    <s v="Funcionário 127"/>
    <d v="1997-01-03T00:00:00"/>
    <x v="24"/>
    <s v="24/02/2021"/>
    <x v="4"/>
    <x v="5"/>
    <x v="2"/>
    <x v="4"/>
    <x v="6"/>
    <x v="0"/>
  </r>
  <r>
    <s v="Funcionário 128"/>
    <d v="1983-10-27T00:00:00"/>
    <x v="24"/>
    <s v="01/10/2020"/>
    <x v="10"/>
    <x v="6"/>
    <x v="2"/>
    <x v="4"/>
    <x v="7"/>
    <x v="0"/>
  </r>
  <r>
    <s v="Funcionário 129"/>
    <d v="1987-03-06T00:00:00"/>
    <x v="25"/>
    <s v="08/02/2022"/>
    <x v="4"/>
    <x v="4"/>
    <x v="2"/>
    <x v="4"/>
    <x v="8"/>
    <x v="0"/>
  </r>
  <r>
    <s v="Funcionário 130"/>
    <d v="1990-05-11T00:00:00"/>
    <x v="25"/>
    <s v="28/04/2022"/>
    <x v="0"/>
    <x v="4"/>
    <x v="2"/>
    <x v="4"/>
    <x v="0"/>
    <x v="0"/>
  </r>
  <r>
    <s v="Funcionário 131"/>
    <d v="1997-06-06T00:00:00"/>
    <x v="25"/>
    <s v="01/02/2023"/>
    <x v="4"/>
    <x v="8"/>
    <x v="2"/>
    <x v="4"/>
    <x v="0"/>
    <x v="0"/>
  </r>
  <r>
    <s v="Funcionário 132"/>
    <d v="1997-02-14T00:00:00"/>
    <x v="25"/>
    <s v="18/01/2021"/>
    <x v="9"/>
    <x v="5"/>
    <x v="2"/>
    <x v="4"/>
    <x v="1"/>
    <x v="0"/>
  </r>
  <r>
    <s v="Funcionário 133"/>
    <d v="1997-03-19T00:00:00"/>
    <x v="25"/>
    <s v="11/09/2020"/>
    <x v="2"/>
    <x v="6"/>
    <x v="2"/>
    <x v="4"/>
    <x v="2"/>
    <x v="0"/>
  </r>
  <r>
    <s v="Funcionário 134"/>
    <d v="2001-04-01T00:00:00"/>
    <x v="25"/>
    <s v="29/03/2021"/>
    <x v="1"/>
    <x v="5"/>
    <x v="2"/>
    <x v="4"/>
    <x v="3"/>
    <x v="0"/>
  </r>
  <r>
    <s v="Funcionário 135"/>
    <d v="1985-07-17T00:00:00"/>
    <x v="25"/>
    <s v="29/03/2021"/>
    <x v="1"/>
    <x v="5"/>
    <x v="2"/>
    <x v="4"/>
    <x v="4"/>
    <x v="0"/>
  </r>
  <r>
    <s v="Funcionário 136"/>
    <d v="2000-12-02T00:00:00"/>
    <x v="25"/>
    <s v="29/03/2021"/>
    <x v="1"/>
    <x v="5"/>
    <x v="2"/>
    <x v="4"/>
    <x v="5"/>
    <x v="0"/>
  </r>
  <r>
    <s v="Funcionário 137"/>
    <d v="2001-06-24T00:00:00"/>
    <x v="26"/>
    <s v="11/09/2020"/>
    <x v="2"/>
    <x v="6"/>
    <x v="2"/>
    <x v="4"/>
    <x v="5"/>
    <x v="0"/>
  </r>
  <r>
    <s v="Funcionário 138"/>
    <d v="1995-06-29T00:00:00"/>
    <x v="26"/>
    <s v="03/11/2020"/>
    <x v="3"/>
    <x v="6"/>
    <x v="2"/>
    <x v="4"/>
    <x v="5"/>
    <x v="0"/>
  </r>
  <r>
    <s v="Funcionário 139"/>
    <d v="1995-05-27T00:00:00"/>
    <x v="26"/>
    <s v="20/11/2020"/>
    <x v="3"/>
    <x v="6"/>
    <x v="2"/>
    <x v="4"/>
    <x v="5"/>
    <x v="0"/>
  </r>
  <r>
    <s v="Funcionário 140"/>
    <d v="1982-05-13T00:00:00"/>
    <x v="27"/>
    <s v="14/05/2021"/>
    <x v="7"/>
    <x v="5"/>
    <x v="2"/>
    <x v="4"/>
    <x v="6"/>
    <x v="0"/>
  </r>
  <r>
    <s v="Funcionário 141"/>
    <d v="2000-06-28T00:00:00"/>
    <x v="28"/>
    <s v="06/07/2020"/>
    <x v="8"/>
    <x v="6"/>
    <x v="2"/>
    <x v="4"/>
    <x v="7"/>
    <x v="0"/>
  </r>
  <r>
    <s v="Funcionário 142"/>
    <d v="1989-11-27T00:00:00"/>
    <x v="28"/>
    <s v="23/05/2022"/>
    <x v="7"/>
    <x v="4"/>
    <x v="2"/>
    <x v="4"/>
    <x v="8"/>
    <x v="0"/>
  </r>
  <r>
    <s v="Funcionário 143"/>
    <d v="1998-03-14T00:00:00"/>
    <x v="28"/>
    <s v="06/07/2020"/>
    <x v="8"/>
    <x v="6"/>
    <x v="2"/>
    <x v="4"/>
    <x v="0"/>
    <x v="0"/>
  </r>
  <r>
    <s v="Funcionário 144"/>
    <d v="2000-02-05T00:00:00"/>
    <x v="28"/>
    <s v="21/10/2020"/>
    <x v="10"/>
    <x v="6"/>
    <x v="2"/>
    <x v="4"/>
    <x v="0"/>
    <x v="0"/>
  </r>
  <r>
    <s v="Funcionário 145"/>
    <d v="2002-02-24T00:00:00"/>
    <x v="28"/>
    <s v="06/07/2020"/>
    <x v="8"/>
    <x v="6"/>
    <x v="2"/>
    <x v="4"/>
    <x v="1"/>
    <x v="0"/>
  </r>
  <r>
    <s v="Funcionário 146"/>
    <d v="1998-08-18T00:00:00"/>
    <x v="28"/>
    <s v="22/05/2020"/>
    <x v="7"/>
    <x v="6"/>
    <x v="2"/>
    <x v="4"/>
    <x v="2"/>
    <x v="0"/>
  </r>
  <r>
    <s v="Funcionário 147"/>
    <d v="1997-05-15T00:00:00"/>
    <x v="28"/>
    <s v="22/05/2020"/>
    <x v="7"/>
    <x v="6"/>
    <x v="2"/>
    <x v="4"/>
    <x v="3"/>
    <x v="0"/>
  </r>
  <r>
    <s v="Funcionário 148"/>
    <d v="2001-12-07T00:00:00"/>
    <x v="28"/>
    <s v="06/07/2020"/>
    <x v="8"/>
    <x v="6"/>
    <x v="2"/>
    <x v="4"/>
    <x v="4"/>
    <x v="0"/>
  </r>
  <r>
    <s v="Funcionário 149"/>
    <d v="1987-05-17T00:00:00"/>
    <x v="28"/>
    <s v="22/05/2020"/>
    <x v="7"/>
    <x v="6"/>
    <x v="2"/>
    <x v="4"/>
    <x v="5"/>
    <x v="0"/>
  </r>
  <r>
    <s v="Funcionário 150"/>
    <d v="1982-08-02T00:00:00"/>
    <x v="28"/>
    <s v="07/05/2020"/>
    <x v="7"/>
    <x v="6"/>
    <x v="2"/>
    <x v="4"/>
    <x v="5"/>
    <x v="0"/>
  </r>
  <r>
    <s v="Funcionário 151"/>
    <d v="1989-09-11T00:00:00"/>
    <x v="29"/>
    <s v="03/11/2020"/>
    <x v="3"/>
    <x v="6"/>
    <x v="9"/>
    <x v="4"/>
    <x v="5"/>
    <x v="0"/>
  </r>
  <r>
    <s v="Funcionário 152"/>
    <d v="1996-08-19T00:00:00"/>
    <x v="29"/>
    <s v="16/09/2021"/>
    <x v="2"/>
    <x v="5"/>
    <x v="9"/>
    <x v="4"/>
    <x v="5"/>
    <x v="0"/>
  </r>
  <r>
    <s v="Funcionário 153"/>
    <d v="1978-05-04T00:00:00"/>
    <x v="30"/>
    <s v="05/01/2021"/>
    <x v="9"/>
    <x v="5"/>
    <x v="9"/>
    <x v="4"/>
    <x v="6"/>
    <x v="0"/>
  </r>
  <r>
    <s v="Funcionário 154"/>
    <d v="1996-07-10T00:00:00"/>
    <x v="30"/>
    <s v="10/08/2020"/>
    <x v="5"/>
    <x v="6"/>
    <x v="9"/>
    <x v="4"/>
    <x v="7"/>
    <x v="0"/>
  </r>
  <r>
    <s v="Funcionário 155"/>
    <d v="1994-02-08T00:00:00"/>
    <x v="31"/>
    <s v="26/07/2020"/>
    <x v="8"/>
    <x v="6"/>
    <x v="9"/>
    <x v="4"/>
    <x v="8"/>
    <x v="0"/>
  </r>
  <r>
    <s v="Funcionário 156"/>
    <d v="1982-06-15T00:00:00"/>
    <x v="31"/>
    <s v="29/03/2021"/>
    <x v="1"/>
    <x v="5"/>
    <x v="9"/>
    <x v="4"/>
    <x v="0"/>
    <x v="0"/>
  </r>
  <r>
    <s v="Funcionário 157"/>
    <d v="1987-02-02T00:00:00"/>
    <x v="31"/>
    <s v="22/08/2020"/>
    <x v="5"/>
    <x v="6"/>
    <x v="9"/>
    <x v="4"/>
    <x v="0"/>
    <x v="0"/>
  </r>
  <r>
    <s v="Funcionário 158"/>
    <d v="1989-07-24T00:00:00"/>
    <x v="31"/>
    <s v="26/07/2020"/>
    <x v="8"/>
    <x v="6"/>
    <x v="9"/>
    <x v="4"/>
    <x v="1"/>
    <x v="0"/>
  </r>
  <r>
    <s v="Funcionário 159"/>
    <d v="1991-05-27T00:00:00"/>
    <x v="32"/>
    <s v="27/04/2022"/>
    <x v="0"/>
    <x v="4"/>
    <x v="5"/>
    <x v="4"/>
    <x v="2"/>
    <x v="0"/>
  </r>
  <r>
    <s v="Funcionário 160"/>
    <d v="1996-08-12T00:00:00"/>
    <x v="33"/>
    <s v="24/02/2021"/>
    <x v="4"/>
    <x v="5"/>
    <x v="5"/>
    <x v="4"/>
    <x v="3"/>
    <x v="0"/>
  </r>
  <r>
    <s v="Funcionário 161"/>
    <d v="1986-05-22T00:00:00"/>
    <x v="33"/>
    <s v="29/03/2021"/>
    <x v="1"/>
    <x v="5"/>
    <x v="5"/>
    <x v="4"/>
    <x v="4"/>
    <x v="0"/>
  </r>
  <r>
    <s v="Funcionário 162"/>
    <d v="1992-09-06T00:00:00"/>
    <x v="33"/>
    <s v="05/01/2021"/>
    <x v="9"/>
    <x v="5"/>
    <x v="5"/>
    <x v="4"/>
    <x v="5"/>
    <x v="0"/>
  </r>
  <r>
    <s v="Funcionário 163"/>
    <d v="1994-10-20T00:00:00"/>
    <x v="33"/>
    <s v="29/03/2021"/>
    <x v="1"/>
    <x v="5"/>
    <x v="5"/>
    <x v="4"/>
    <x v="5"/>
    <x v="0"/>
  </r>
  <r>
    <s v="Funcionário 164"/>
    <d v="1983-03-10T00:00:00"/>
    <x v="33"/>
    <s v="27/04/2023"/>
    <x v="0"/>
    <x v="8"/>
    <x v="5"/>
    <x v="4"/>
    <x v="5"/>
    <x v="0"/>
  </r>
  <r>
    <s v="Funcionário 165"/>
    <d v="1998-04-23T00:00:00"/>
    <x v="33"/>
    <s v="19/02/2021"/>
    <x v="4"/>
    <x v="5"/>
    <x v="5"/>
    <x v="4"/>
    <x v="5"/>
    <x v="0"/>
  </r>
  <r>
    <s v="Funcionário 166"/>
    <d v="1995-04-12T00:00:00"/>
    <x v="33"/>
    <s v="05/01/2021"/>
    <x v="9"/>
    <x v="5"/>
    <x v="5"/>
    <x v="4"/>
    <x v="6"/>
    <x v="0"/>
  </r>
  <r>
    <s v="Funcionário 167"/>
    <d v="2000-08-18T00:00:00"/>
    <x v="33"/>
    <s v="16/05/2022"/>
    <x v="7"/>
    <x v="4"/>
    <x v="5"/>
    <x v="4"/>
    <x v="7"/>
    <x v="0"/>
  </r>
  <r>
    <s v="Funcionário 168"/>
    <d v="1988-08-04T00:00:00"/>
    <x v="33"/>
    <s v="25/02/2021"/>
    <x v="4"/>
    <x v="5"/>
    <x v="5"/>
    <x v="4"/>
    <x v="8"/>
    <x v="0"/>
  </r>
  <r>
    <s v="Funcionário 169"/>
    <d v="1998-10-01T00:00:00"/>
    <x v="33"/>
    <s v="29/03/2021"/>
    <x v="1"/>
    <x v="5"/>
    <x v="5"/>
    <x v="4"/>
    <x v="0"/>
    <x v="0"/>
  </r>
  <r>
    <s v="Funcionário 170"/>
    <d v="1986-10-30T00:00:00"/>
    <x v="34"/>
    <s v="25/11/2020"/>
    <x v="3"/>
    <x v="6"/>
    <x v="6"/>
    <x v="4"/>
    <x v="0"/>
    <x v="0"/>
  </r>
  <r>
    <s v="Funcionário 171"/>
    <d v="1994-07-17T00:00:00"/>
    <x v="34"/>
    <s v="29/03/2021"/>
    <x v="1"/>
    <x v="5"/>
    <x v="6"/>
    <x v="4"/>
    <x v="1"/>
    <x v="0"/>
  </r>
  <r>
    <s v="Funcionário 172"/>
    <d v="2001-02-07T00:00:00"/>
    <x v="34"/>
    <s v="22/10/2020"/>
    <x v="10"/>
    <x v="6"/>
    <x v="6"/>
    <x v="4"/>
    <x v="2"/>
    <x v="0"/>
  </r>
  <r>
    <s v="Funcionário 173"/>
    <d v="1972-05-17T00:00:00"/>
    <x v="35"/>
    <s v="25/10/2020"/>
    <x v="10"/>
    <x v="6"/>
    <x v="6"/>
    <x v="4"/>
    <x v="3"/>
    <x v="0"/>
  </r>
  <r>
    <s v="Funcionário 174"/>
    <d v="1973-10-20T00:00:00"/>
    <x v="36"/>
    <m/>
    <x v="6"/>
    <x v="3"/>
    <x v="6"/>
    <x v="4"/>
    <x v="4"/>
    <x v="1"/>
  </r>
  <r>
    <s v="Funcionário 175"/>
    <d v="1988-06-06T00:00:00"/>
    <x v="36"/>
    <s v="16/11/2020"/>
    <x v="3"/>
    <x v="6"/>
    <x v="6"/>
    <x v="4"/>
    <x v="5"/>
    <x v="0"/>
  </r>
  <r>
    <s v="Funcionário 176"/>
    <d v="1971-10-27T00:00:00"/>
    <x v="37"/>
    <s v="05/05/2021"/>
    <x v="7"/>
    <x v="5"/>
    <x v="10"/>
    <x v="4"/>
    <x v="5"/>
    <x v="0"/>
  </r>
  <r>
    <s v="Funcionário 177"/>
    <d v="1983-01-05T00:00:00"/>
    <x v="38"/>
    <s v="20/01/2021"/>
    <x v="9"/>
    <x v="5"/>
    <x v="10"/>
    <x v="4"/>
    <x v="5"/>
    <x v="0"/>
  </r>
  <r>
    <s v="Funcionário 178"/>
    <d v="1982-03-10T00:00:00"/>
    <x v="38"/>
    <s v="05/05/2021"/>
    <x v="7"/>
    <x v="5"/>
    <x v="10"/>
    <x v="4"/>
    <x v="5"/>
    <x v="0"/>
  </r>
  <r>
    <s v="Funcionário 179"/>
    <d v="1991-08-31T00:00:00"/>
    <x v="39"/>
    <s v="24/02/2021"/>
    <x v="4"/>
    <x v="5"/>
    <x v="0"/>
    <x v="4"/>
    <x v="6"/>
    <x v="0"/>
  </r>
  <r>
    <s v="Funcionário 180"/>
    <d v="1989-09-24T00:00:00"/>
    <x v="40"/>
    <m/>
    <x v="6"/>
    <x v="3"/>
    <x v="0"/>
    <x v="4"/>
    <x v="7"/>
    <x v="1"/>
  </r>
  <r>
    <s v="Funcionário 181"/>
    <d v="1990-10-24T00:00:00"/>
    <x v="40"/>
    <m/>
    <x v="6"/>
    <x v="3"/>
    <x v="0"/>
    <x v="4"/>
    <x v="8"/>
    <x v="1"/>
  </r>
  <r>
    <s v="Funcionário 182"/>
    <d v="1985-03-09T00:00:00"/>
    <x v="40"/>
    <s v="20/02/2021"/>
    <x v="4"/>
    <x v="5"/>
    <x v="0"/>
    <x v="4"/>
    <x v="0"/>
    <x v="0"/>
  </r>
  <r>
    <s v="Funcionário 183"/>
    <d v="1994-07-18T00:00:00"/>
    <x v="40"/>
    <s v="18/01/2021"/>
    <x v="9"/>
    <x v="5"/>
    <x v="0"/>
    <x v="4"/>
    <x v="0"/>
    <x v="0"/>
  </r>
  <r>
    <s v="Funcionário 184"/>
    <d v="1995-10-06T00:00:00"/>
    <x v="40"/>
    <s v="31/08/2023"/>
    <x v="5"/>
    <x v="8"/>
    <x v="0"/>
    <x v="4"/>
    <x v="1"/>
    <x v="0"/>
  </r>
  <r>
    <s v="Funcionário 185"/>
    <d v="1987-08-21T00:00:00"/>
    <x v="40"/>
    <s v="10/09/2021"/>
    <x v="2"/>
    <x v="5"/>
    <x v="0"/>
    <x v="4"/>
    <x v="2"/>
    <x v="0"/>
  </r>
  <r>
    <s v="Funcionário 186"/>
    <d v="1996-12-25T00:00:00"/>
    <x v="40"/>
    <s v="08/12/2020"/>
    <x v="11"/>
    <x v="6"/>
    <x v="0"/>
    <x v="4"/>
    <x v="3"/>
    <x v="0"/>
  </r>
  <r>
    <s v="Funcionário 187"/>
    <d v="1984-08-17T00:00:00"/>
    <x v="41"/>
    <m/>
    <x v="6"/>
    <x v="3"/>
    <x v="3"/>
    <x v="4"/>
    <x v="4"/>
    <x v="1"/>
  </r>
  <r>
    <s v="Funcionário 188"/>
    <d v="1993-05-28T00:00:00"/>
    <x v="42"/>
    <s v="09/03/2021"/>
    <x v="1"/>
    <x v="5"/>
    <x v="3"/>
    <x v="4"/>
    <x v="5"/>
    <x v="0"/>
  </r>
  <r>
    <s v="Funcionário 189"/>
    <d v="1993-08-23T00:00:00"/>
    <x v="43"/>
    <s v="28/07/2022"/>
    <x v="8"/>
    <x v="4"/>
    <x v="2"/>
    <x v="5"/>
    <x v="5"/>
    <x v="0"/>
  </r>
  <r>
    <s v="Funcionário 190"/>
    <d v="1993-08-26T00:00:00"/>
    <x v="44"/>
    <s v="24/06/2021"/>
    <x v="12"/>
    <x v="5"/>
    <x v="11"/>
    <x v="5"/>
    <x v="5"/>
    <x v="0"/>
  </r>
  <r>
    <s v="Funcionário 191"/>
    <d v="1986-02-13T00:00:00"/>
    <x v="44"/>
    <m/>
    <x v="6"/>
    <x v="3"/>
    <x v="11"/>
    <x v="5"/>
    <x v="5"/>
    <x v="1"/>
  </r>
  <r>
    <s v="Funcionário 192"/>
    <d v="1997-06-11T00:00:00"/>
    <x v="44"/>
    <s v="31/05/2023"/>
    <x v="7"/>
    <x v="8"/>
    <x v="11"/>
    <x v="5"/>
    <x v="6"/>
    <x v="0"/>
  </r>
  <r>
    <s v="Funcionário 193"/>
    <d v="1984-02-10T00:00:00"/>
    <x v="44"/>
    <s v="24/06/2021"/>
    <x v="12"/>
    <x v="5"/>
    <x v="11"/>
    <x v="5"/>
    <x v="7"/>
    <x v="0"/>
  </r>
  <r>
    <s v="Funcionário 194"/>
    <d v="1996-03-02T00:00:00"/>
    <x v="44"/>
    <s v="28/04/2022"/>
    <x v="0"/>
    <x v="4"/>
    <x v="11"/>
    <x v="5"/>
    <x v="8"/>
    <x v="0"/>
  </r>
  <r>
    <s v="Funcionário 195"/>
    <d v="1998-10-19T00:00:00"/>
    <x v="44"/>
    <s v="08/08/2021"/>
    <x v="5"/>
    <x v="5"/>
    <x v="11"/>
    <x v="5"/>
    <x v="0"/>
    <x v="0"/>
  </r>
  <r>
    <s v="Funcionário 196"/>
    <d v="1983-10-21T00:00:00"/>
    <x v="44"/>
    <s v="26/05/2021"/>
    <x v="7"/>
    <x v="5"/>
    <x v="11"/>
    <x v="5"/>
    <x v="0"/>
    <x v="0"/>
  </r>
  <r>
    <s v="Funcionário 197"/>
    <d v="1993-02-13T00:00:00"/>
    <x v="45"/>
    <s v="17/08/2021"/>
    <x v="5"/>
    <x v="5"/>
    <x v="11"/>
    <x v="5"/>
    <x v="1"/>
    <x v="0"/>
  </r>
  <r>
    <s v="Funcionário 198"/>
    <d v="2002-12-13T00:00:00"/>
    <x v="45"/>
    <s v="24/06/2021"/>
    <x v="12"/>
    <x v="5"/>
    <x v="11"/>
    <x v="5"/>
    <x v="2"/>
    <x v="0"/>
  </r>
  <r>
    <s v="Funcionário 199"/>
    <d v="1963-01-27T00:00:00"/>
    <x v="46"/>
    <s v="19/02/2022"/>
    <x v="4"/>
    <x v="4"/>
    <x v="11"/>
    <x v="5"/>
    <x v="3"/>
    <x v="0"/>
  </r>
  <r>
    <s v="Funcionário 200"/>
    <d v="1998-06-05T00:00:00"/>
    <x v="47"/>
    <s v="10/05/2022"/>
    <x v="7"/>
    <x v="4"/>
    <x v="11"/>
    <x v="5"/>
    <x v="4"/>
    <x v="0"/>
  </r>
  <r>
    <s v="Funcionário 201"/>
    <d v="1993-12-27T00:00:00"/>
    <x v="47"/>
    <m/>
    <x v="6"/>
    <x v="3"/>
    <x v="11"/>
    <x v="5"/>
    <x v="5"/>
    <x v="1"/>
  </r>
  <r>
    <s v="Funcionário 202"/>
    <d v="1989-01-06T00:00:00"/>
    <x v="47"/>
    <s v="28/04/2022"/>
    <x v="0"/>
    <x v="4"/>
    <x v="11"/>
    <x v="5"/>
    <x v="5"/>
    <x v="0"/>
  </r>
  <r>
    <s v="Funcionário 203"/>
    <d v="1985-06-27T00:00:00"/>
    <x v="47"/>
    <s v="01/04/2022"/>
    <x v="0"/>
    <x v="4"/>
    <x v="11"/>
    <x v="5"/>
    <x v="5"/>
    <x v="0"/>
  </r>
  <r>
    <s v="Funcionário 204"/>
    <d v="1990-10-06T00:00:00"/>
    <x v="47"/>
    <s v="10/05/2022"/>
    <x v="7"/>
    <x v="4"/>
    <x v="11"/>
    <x v="5"/>
    <x v="5"/>
    <x v="0"/>
  </r>
  <r>
    <s v="Funcionário 205"/>
    <d v="1994-01-24T00:00:00"/>
    <x v="47"/>
    <s v="28/04/2022"/>
    <x v="0"/>
    <x v="4"/>
    <x v="11"/>
    <x v="5"/>
    <x v="6"/>
    <x v="0"/>
  </r>
  <r>
    <s v="Funcionário 206"/>
    <d v="1994-08-28T00:00:00"/>
    <x v="47"/>
    <s v="31/05/2023"/>
    <x v="7"/>
    <x v="8"/>
    <x v="11"/>
    <x v="5"/>
    <x v="7"/>
    <x v="0"/>
  </r>
  <r>
    <s v="Funcionário 207"/>
    <d v="1989-09-06T00:00:00"/>
    <x v="47"/>
    <s v="27/04/2022"/>
    <x v="0"/>
    <x v="4"/>
    <x v="11"/>
    <x v="5"/>
    <x v="8"/>
    <x v="0"/>
  </r>
  <r>
    <s v="Funcionário 208"/>
    <d v="1991-06-10T00:00:00"/>
    <x v="47"/>
    <s v="10/03/2023"/>
    <x v="1"/>
    <x v="8"/>
    <x v="11"/>
    <x v="5"/>
    <x v="0"/>
    <x v="0"/>
  </r>
  <r>
    <s v="Funcionário 209"/>
    <d v="1992-06-30T00:00:00"/>
    <x v="47"/>
    <s v="28/04/2022"/>
    <x v="0"/>
    <x v="4"/>
    <x v="11"/>
    <x v="5"/>
    <x v="0"/>
    <x v="0"/>
  </r>
  <r>
    <s v="Funcionário 210"/>
    <d v="2001-01-08T00:00:00"/>
    <x v="47"/>
    <m/>
    <x v="6"/>
    <x v="3"/>
    <x v="11"/>
    <x v="5"/>
    <x v="1"/>
    <x v="1"/>
  </r>
  <r>
    <s v="Funcionário 211"/>
    <d v="1998-04-19T00:00:00"/>
    <x v="47"/>
    <s v="02/09/2022"/>
    <x v="2"/>
    <x v="4"/>
    <x v="11"/>
    <x v="5"/>
    <x v="2"/>
    <x v="0"/>
  </r>
  <r>
    <s v="Funcionário 212"/>
    <d v="1966-12-19T00:00:00"/>
    <x v="48"/>
    <m/>
    <x v="6"/>
    <x v="3"/>
    <x v="9"/>
    <x v="5"/>
    <x v="3"/>
    <x v="1"/>
  </r>
  <r>
    <s v="Funcionário 213"/>
    <d v="1980-03-06T00:00:00"/>
    <x v="49"/>
    <s v="28/04/2022"/>
    <x v="0"/>
    <x v="4"/>
    <x v="4"/>
    <x v="5"/>
    <x v="4"/>
    <x v="0"/>
  </r>
  <r>
    <s v="Funcionário 214"/>
    <d v="1996-01-08T00:00:00"/>
    <x v="49"/>
    <s v="07/04/2022"/>
    <x v="0"/>
    <x v="4"/>
    <x v="4"/>
    <x v="5"/>
    <x v="5"/>
    <x v="0"/>
  </r>
  <r>
    <s v="Funcionário 215"/>
    <d v="1995-08-14T00:00:00"/>
    <x v="49"/>
    <s v="28/09/2021"/>
    <x v="2"/>
    <x v="5"/>
    <x v="4"/>
    <x v="5"/>
    <x v="5"/>
    <x v="0"/>
  </r>
  <r>
    <s v="Funcionário 216"/>
    <d v="1998-02-21T00:00:00"/>
    <x v="49"/>
    <s v="03/01/2022"/>
    <x v="9"/>
    <x v="4"/>
    <x v="4"/>
    <x v="5"/>
    <x v="5"/>
    <x v="0"/>
  </r>
  <r>
    <s v="Funcionário 217"/>
    <d v="1976-09-08T00:00:00"/>
    <x v="49"/>
    <m/>
    <x v="6"/>
    <x v="3"/>
    <x v="4"/>
    <x v="5"/>
    <x v="5"/>
    <x v="1"/>
  </r>
  <r>
    <s v="Funcionário 218"/>
    <d v="2000-05-09T00:00:00"/>
    <x v="49"/>
    <s v="19/09/2022"/>
    <x v="2"/>
    <x v="4"/>
    <x v="4"/>
    <x v="5"/>
    <x v="6"/>
    <x v="0"/>
  </r>
  <r>
    <s v="Funcionário 219"/>
    <d v="1983-06-05T00:00:00"/>
    <x v="50"/>
    <s v="27/04/2022"/>
    <x v="0"/>
    <x v="4"/>
    <x v="4"/>
    <x v="5"/>
    <x v="7"/>
    <x v="0"/>
  </r>
  <r>
    <s v="Funcionário 220"/>
    <d v="1993-10-28T00:00:00"/>
    <x v="50"/>
    <s v="28/04/2022"/>
    <x v="0"/>
    <x v="4"/>
    <x v="4"/>
    <x v="5"/>
    <x v="8"/>
    <x v="0"/>
  </r>
  <r>
    <s v="Funcionário 221"/>
    <d v="1990-03-25T00:00:00"/>
    <x v="50"/>
    <s v="03/10/2021"/>
    <x v="10"/>
    <x v="5"/>
    <x v="4"/>
    <x v="5"/>
    <x v="0"/>
    <x v="0"/>
  </r>
  <r>
    <s v="Funcionário 222"/>
    <d v="2000-05-12T00:00:00"/>
    <x v="50"/>
    <s v="12/09/2023"/>
    <x v="2"/>
    <x v="8"/>
    <x v="4"/>
    <x v="5"/>
    <x v="0"/>
    <x v="0"/>
  </r>
  <r>
    <s v="Funcionário 223"/>
    <d v="1991-10-07T00:00:00"/>
    <x v="50"/>
    <s v="05/10/2021"/>
    <x v="10"/>
    <x v="5"/>
    <x v="4"/>
    <x v="5"/>
    <x v="1"/>
    <x v="0"/>
  </r>
  <r>
    <s v="Funcionário 224"/>
    <d v="2003-04-16T00:00:00"/>
    <x v="50"/>
    <s v="06/05/2022"/>
    <x v="7"/>
    <x v="4"/>
    <x v="4"/>
    <x v="5"/>
    <x v="2"/>
    <x v="0"/>
  </r>
  <r>
    <s v="Funcionário 225"/>
    <d v="2000-06-23T00:00:00"/>
    <x v="50"/>
    <s v="11/05/2022"/>
    <x v="7"/>
    <x v="4"/>
    <x v="4"/>
    <x v="5"/>
    <x v="3"/>
    <x v="0"/>
  </r>
  <r>
    <s v="Funcionário 226"/>
    <d v="1965-08-06T00:00:00"/>
    <x v="50"/>
    <s v="28/04/2022"/>
    <x v="0"/>
    <x v="4"/>
    <x v="4"/>
    <x v="5"/>
    <x v="4"/>
    <x v="0"/>
  </r>
  <r>
    <s v="Funcionário 227"/>
    <d v="1989-09-14T00:00:00"/>
    <x v="50"/>
    <s v="28/04/2022"/>
    <x v="0"/>
    <x v="4"/>
    <x v="4"/>
    <x v="5"/>
    <x v="5"/>
    <x v="0"/>
  </r>
  <r>
    <s v="Funcionário 228"/>
    <d v="2003-04-30T00:00:00"/>
    <x v="50"/>
    <s v="16/05/2022"/>
    <x v="7"/>
    <x v="4"/>
    <x v="4"/>
    <x v="5"/>
    <x v="5"/>
    <x v="0"/>
  </r>
  <r>
    <s v="Funcionário 229"/>
    <d v="1978-12-26T00:00:00"/>
    <x v="50"/>
    <s v="05/10/2021"/>
    <x v="10"/>
    <x v="5"/>
    <x v="4"/>
    <x v="5"/>
    <x v="5"/>
    <x v="0"/>
  </r>
  <r>
    <s v="Funcionário 230"/>
    <d v="1995-06-21T00:00:00"/>
    <x v="50"/>
    <s v="05/10/2021"/>
    <x v="10"/>
    <x v="5"/>
    <x v="4"/>
    <x v="5"/>
    <x v="5"/>
    <x v="0"/>
  </r>
  <r>
    <s v="Funcionário 231"/>
    <d v="1980-08-18T00:00:00"/>
    <x v="51"/>
    <s v="08/03/2022"/>
    <x v="1"/>
    <x v="4"/>
    <x v="4"/>
    <x v="5"/>
    <x v="6"/>
    <x v="0"/>
  </r>
  <r>
    <s v="Funcionário 232"/>
    <d v="1995-09-12T00:00:00"/>
    <x v="52"/>
    <s v="28/04/2022"/>
    <x v="0"/>
    <x v="4"/>
    <x v="4"/>
    <x v="5"/>
    <x v="7"/>
    <x v="0"/>
  </r>
  <r>
    <s v="Funcionário 233"/>
    <d v="1980-10-13T00:00:00"/>
    <x v="52"/>
    <s v="07/04/2022"/>
    <x v="0"/>
    <x v="4"/>
    <x v="4"/>
    <x v="5"/>
    <x v="8"/>
    <x v="0"/>
  </r>
  <r>
    <s v="Funcionário 234"/>
    <d v="2002-12-06T00:00:00"/>
    <x v="52"/>
    <m/>
    <x v="6"/>
    <x v="3"/>
    <x v="4"/>
    <x v="5"/>
    <x v="0"/>
    <x v="1"/>
  </r>
  <r>
    <s v="Funcionário 235"/>
    <d v="1998-08-11T00:00:00"/>
    <x v="52"/>
    <s v="01/09/2021"/>
    <x v="2"/>
    <x v="5"/>
    <x v="4"/>
    <x v="5"/>
    <x v="0"/>
    <x v="0"/>
  </r>
  <r>
    <s v="Funcionário 236"/>
    <d v="1978-12-28T00:00:00"/>
    <x v="52"/>
    <s v="01/04/2022"/>
    <x v="0"/>
    <x v="4"/>
    <x v="4"/>
    <x v="5"/>
    <x v="1"/>
    <x v="0"/>
  </r>
  <r>
    <s v="Funcionário 237"/>
    <d v="1999-08-08T00:00:00"/>
    <x v="52"/>
    <s v="25/07/2023"/>
    <x v="8"/>
    <x v="8"/>
    <x v="4"/>
    <x v="5"/>
    <x v="2"/>
    <x v="0"/>
  </r>
  <r>
    <s v="Funcionário 238"/>
    <d v="1983-09-26T00:00:00"/>
    <x v="53"/>
    <s v="02/09/2022"/>
    <x v="2"/>
    <x v="4"/>
    <x v="4"/>
    <x v="5"/>
    <x v="3"/>
    <x v="0"/>
  </r>
  <r>
    <s v="Funcionário 239"/>
    <d v="1996-09-28T00:00:00"/>
    <x v="53"/>
    <m/>
    <x v="6"/>
    <x v="3"/>
    <x v="4"/>
    <x v="5"/>
    <x v="4"/>
    <x v="1"/>
  </r>
  <r>
    <s v="Funcionário 240"/>
    <d v="1971-11-11T00:00:00"/>
    <x v="54"/>
    <m/>
    <x v="6"/>
    <x v="3"/>
    <x v="4"/>
    <x v="5"/>
    <x v="5"/>
    <x v="1"/>
  </r>
  <r>
    <s v="Funcionário 241"/>
    <d v="1996-01-12T00:00:00"/>
    <x v="55"/>
    <s v="08/01/2024"/>
    <x v="9"/>
    <x v="9"/>
    <x v="5"/>
    <x v="5"/>
    <x v="5"/>
    <x v="0"/>
  </r>
  <r>
    <s v="Funcionário 242"/>
    <d v="2002-04-23T00:00:00"/>
    <x v="56"/>
    <s v="03/10/2021"/>
    <x v="10"/>
    <x v="5"/>
    <x v="5"/>
    <x v="5"/>
    <x v="5"/>
    <x v="0"/>
  </r>
  <r>
    <s v="Funcionário 243"/>
    <d v="1984-02-06T00:00:00"/>
    <x v="57"/>
    <s v="02/09/2022"/>
    <x v="2"/>
    <x v="4"/>
    <x v="6"/>
    <x v="5"/>
    <x v="5"/>
    <x v="0"/>
  </r>
  <r>
    <s v="Funcionário 244"/>
    <d v="2001-03-03T00:00:00"/>
    <x v="58"/>
    <s v="28/04/2022"/>
    <x v="0"/>
    <x v="4"/>
    <x v="1"/>
    <x v="6"/>
    <x v="6"/>
    <x v="0"/>
  </r>
  <r>
    <s v="Funcionário 245"/>
    <d v="1998-12-27T00:00:00"/>
    <x v="58"/>
    <m/>
    <x v="6"/>
    <x v="3"/>
    <x v="1"/>
    <x v="6"/>
    <x v="7"/>
    <x v="1"/>
  </r>
  <r>
    <s v="Funcionário 246"/>
    <d v="1985-12-20T00:00:00"/>
    <x v="58"/>
    <s v="28/04/2022"/>
    <x v="0"/>
    <x v="4"/>
    <x v="1"/>
    <x v="6"/>
    <x v="8"/>
    <x v="0"/>
  </r>
  <r>
    <s v="Funcionário 247"/>
    <d v="2001-01-29T00:00:00"/>
    <x v="58"/>
    <s v="28/04/2022"/>
    <x v="0"/>
    <x v="4"/>
    <x v="1"/>
    <x v="6"/>
    <x v="0"/>
    <x v="0"/>
  </r>
  <r>
    <s v="Funcionário 248"/>
    <d v="1997-04-07T00:00:00"/>
    <x v="59"/>
    <s v="16/05/2022"/>
    <x v="7"/>
    <x v="4"/>
    <x v="1"/>
    <x v="6"/>
    <x v="0"/>
    <x v="0"/>
  </r>
  <r>
    <s v="Funcionário 249"/>
    <d v="1982-11-17T00:00:00"/>
    <x v="60"/>
    <s v="28/04/2022"/>
    <x v="0"/>
    <x v="4"/>
    <x v="8"/>
    <x v="6"/>
    <x v="1"/>
    <x v="0"/>
  </r>
  <r>
    <s v="Funcionário 250"/>
    <d v="1974-06-12T00:00:00"/>
    <x v="61"/>
    <m/>
    <x v="6"/>
    <x v="3"/>
    <x v="2"/>
    <x v="6"/>
    <x v="2"/>
    <x v="1"/>
  </r>
  <r>
    <s v="Funcionário 251"/>
    <d v="1993-03-13T00:00:00"/>
    <x v="62"/>
    <m/>
    <x v="6"/>
    <x v="3"/>
    <x v="4"/>
    <x v="6"/>
    <x v="3"/>
    <x v="1"/>
  </r>
  <r>
    <s v="Funcionário 252"/>
    <d v="1998-09-23T00:00:00"/>
    <x v="62"/>
    <m/>
    <x v="6"/>
    <x v="3"/>
    <x v="4"/>
    <x v="6"/>
    <x v="4"/>
    <x v="1"/>
  </r>
  <r>
    <s v="Funcionário 253"/>
    <d v="1984-04-05T00:00:00"/>
    <x v="62"/>
    <s v="16/08/2022"/>
    <x v="5"/>
    <x v="4"/>
    <x v="4"/>
    <x v="6"/>
    <x v="5"/>
    <x v="0"/>
  </r>
  <r>
    <s v="Funcionário 254"/>
    <d v="1996-02-02T00:00:00"/>
    <x v="62"/>
    <m/>
    <x v="6"/>
    <x v="3"/>
    <x v="4"/>
    <x v="6"/>
    <x v="5"/>
    <x v="1"/>
  </r>
  <r>
    <s v="Funcionário 255"/>
    <d v="1993-04-10T00:00:00"/>
    <x v="62"/>
    <m/>
    <x v="6"/>
    <x v="3"/>
    <x v="4"/>
    <x v="6"/>
    <x v="5"/>
    <x v="1"/>
  </r>
  <r>
    <s v="Funcionário 256"/>
    <d v="2000-08-23T00:00:00"/>
    <x v="62"/>
    <s v="24/08/2022"/>
    <x v="5"/>
    <x v="4"/>
    <x v="4"/>
    <x v="6"/>
    <x v="5"/>
    <x v="0"/>
  </r>
  <r>
    <s v="Funcionário 257"/>
    <d v="1999-01-20T00:00:00"/>
    <x v="62"/>
    <s v="08/09/2022"/>
    <x v="2"/>
    <x v="4"/>
    <x v="4"/>
    <x v="6"/>
    <x v="6"/>
    <x v="0"/>
  </r>
  <r>
    <s v="Funcionário 258"/>
    <d v="1997-01-09T00:00:00"/>
    <x v="62"/>
    <s v="08/09/2022"/>
    <x v="2"/>
    <x v="4"/>
    <x v="4"/>
    <x v="6"/>
    <x v="7"/>
    <x v="0"/>
  </r>
  <r>
    <s v="Funcionário 259"/>
    <d v="1995-02-13T00:00:00"/>
    <x v="62"/>
    <s v="22/08/2022"/>
    <x v="5"/>
    <x v="4"/>
    <x v="4"/>
    <x v="6"/>
    <x v="8"/>
    <x v="0"/>
  </r>
  <r>
    <s v="Funcionário 260"/>
    <d v="1975-04-14T00:00:00"/>
    <x v="63"/>
    <m/>
    <x v="6"/>
    <x v="3"/>
    <x v="4"/>
    <x v="6"/>
    <x v="0"/>
    <x v="1"/>
  </r>
  <r>
    <s v="Funcionário 261"/>
    <d v="2001-03-23T00:00:00"/>
    <x v="63"/>
    <s v="03/10/2022"/>
    <x v="10"/>
    <x v="4"/>
    <x v="4"/>
    <x v="6"/>
    <x v="0"/>
    <x v="0"/>
  </r>
  <r>
    <s v="Funcionário 262"/>
    <d v="1995-05-22T00:00:00"/>
    <x v="63"/>
    <s v="16/11/2022"/>
    <x v="3"/>
    <x v="4"/>
    <x v="4"/>
    <x v="6"/>
    <x v="1"/>
    <x v="0"/>
  </r>
  <r>
    <s v="Funcionário 263"/>
    <d v="2002-08-24T00:00:00"/>
    <x v="64"/>
    <s v="29/08/2022"/>
    <x v="5"/>
    <x v="4"/>
    <x v="5"/>
    <x v="6"/>
    <x v="2"/>
    <x v="0"/>
  </r>
  <r>
    <s v="Funcionário 264"/>
    <d v="1997-06-28T00:00:00"/>
    <x v="65"/>
    <m/>
    <x v="6"/>
    <x v="3"/>
    <x v="6"/>
    <x v="6"/>
    <x v="3"/>
    <x v="1"/>
  </r>
  <r>
    <s v="Funcionário 265"/>
    <d v="1991-06-27T00:00:00"/>
    <x v="66"/>
    <s v="06/12/2022"/>
    <x v="11"/>
    <x v="4"/>
    <x v="6"/>
    <x v="6"/>
    <x v="4"/>
    <x v="0"/>
  </r>
  <r>
    <s v="Funcionário 266"/>
    <d v="2002-11-26T00:00:00"/>
    <x v="66"/>
    <s v="06/12/2022"/>
    <x v="11"/>
    <x v="4"/>
    <x v="6"/>
    <x v="6"/>
    <x v="5"/>
    <x v="0"/>
  </r>
  <r>
    <s v="Funcionário 267"/>
    <d v="2000-03-16T00:00:00"/>
    <x v="66"/>
    <s v="07/12/2022"/>
    <x v="11"/>
    <x v="4"/>
    <x v="6"/>
    <x v="6"/>
    <x v="5"/>
    <x v="0"/>
  </r>
  <r>
    <s v="Funcionário 268"/>
    <d v="1999-12-26T00:00:00"/>
    <x v="66"/>
    <s v="23/10/2022"/>
    <x v="10"/>
    <x v="4"/>
    <x v="6"/>
    <x v="6"/>
    <x v="5"/>
    <x v="0"/>
  </r>
  <r>
    <s v="Funcionário 269"/>
    <d v="1989-01-06T00:00:00"/>
    <x v="67"/>
    <s v="31/05/2023"/>
    <x v="7"/>
    <x v="8"/>
    <x v="0"/>
    <x v="6"/>
    <x v="5"/>
    <x v="0"/>
  </r>
  <r>
    <s v="Funcionário 270"/>
    <d v="1990-10-06T00:00:00"/>
    <x v="67"/>
    <s v="31/05/2023"/>
    <x v="7"/>
    <x v="8"/>
    <x v="0"/>
    <x v="6"/>
    <x v="6"/>
    <x v="0"/>
  </r>
  <r>
    <s v="Funcionário 271"/>
    <d v="1998-01-13T00:00:00"/>
    <x v="68"/>
    <s v="19/12/2022"/>
    <x v="11"/>
    <x v="4"/>
    <x v="0"/>
    <x v="6"/>
    <x v="7"/>
    <x v="0"/>
  </r>
  <r>
    <s v="Funcionário 272"/>
    <d v="1976-05-17T00:00:00"/>
    <x v="68"/>
    <s v="01/02/2023"/>
    <x v="4"/>
    <x v="8"/>
    <x v="0"/>
    <x v="6"/>
    <x v="8"/>
    <x v="0"/>
  </r>
  <r>
    <s v="Funcionário 273"/>
    <d v="2001-03-03T00:00:00"/>
    <x v="68"/>
    <s v="01/02/2023"/>
    <x v="4"/>
    <x v="8"/>
    <x v="0"/>
    <x v="6"/>
    <x v="0"/>
    <x v="0"/>
  </r>
  <r>
    <s v="Funcionário 274"/>
    <d v="1998-07-24T00:00:00"/>
    <x v="68"/>
    <s v="31/05/2023"/>
    <x v="7"/>
    <x v="8"/>
    <x v="0"/>
    <x v="6"/>
    <x v="0"/>
    <x v="0"/>
  </r>
  <r>
    <s v="Funcionário 275"/>
    <d v="1986-12-10T00:00:00"/>
    <x v="68"/>
    <s v="31/05/2023"/>
    <x v="7"/>
    <x v="8"/>
    <x v="0"/>
    <x v="6"/>
    <x v="1"/>
    <x v="0"/>
  </r>
  <r>
    <s v="Funcionário 276"/>
    <d v="1998-06-25T00:00:00"/>
    <x v="68"/>
    <m/>
    <x v="6"/>
    <x v="3"/>
    <x v="0"/>
    <x v="6"/>
    <x v="2"/>
    <x v="1"/>
  </r>
  <r>
    <s v="Funcionário 277"/>
    <d v="1997-04-11T00:00:00"/>
    <x v="68"/>
    <s v="05/12/2022"/>
    <x v="11"/>
    <x v="4"/>
    <x v="0"/>
    <x v="6"/>
    <x v="3"/>
    <x v="0"/>
  </r>
  <r>
    <s v="Funcionário 278"/>
    <d v="1976-08-04T00:00:00"/>
    <x v="68"/>
    <s v="20/12/2022"/>
    <x v="11"/>
    <x v="4"/>
    <x v="0"/>
    <x v="6"/>
    <x v="4"/>
    <x v="0"/>
  </r>
  <r>
    <s v="Funcionário 279"/>
    <d v="2001-04-11T00:00:00"/>
    <x v="68"/>
    <s v="26/04/2023"/>
    <x v="0"/>
    <x v="8"/>
    <x v="0"/>
    <x v="6"/>
    <x v="5"/>
    <x v="0"/>
  </r>
  <r>
    <s v="Funcionário 280"/>
    <d v="2001-08-09T00:00:00"/>
    <x v="68"/>
    <s v="13/12/2022"/>
    <x v="11"/>
    <x v="4"/>
    <x v="0"/>
    <x v="6"/>
    <x v="5"/>
    <x v="0"/>
  </r>
  <r>
    <s v="Funcionário 281"/>
    <d v="1984-05-25T00:00:00"/>
    <x v="69"/>
    <m/>
    <x v="6"/>
    <x v="3"/>
    <x v="0"/>
    <x v="6"/>
    <x v="5"/>
    <x v="1"/>
  </r>
  <r>
    <s v="Funcionário 282"/>
    <d v="1990-02-08T00:00:00"/>
    <x v="69"/>
    <s v="31/05/2023"/>
    <x v="7"/>
    <x v="8"/>
    <x v="0"/>
    <x v="6"/>
    <x v="5"/>
    <x v="0"/>
  </r>
  <r>
    <s v="Funcionário 283"/>
    <d v="1990-10-04T00:00:00"/>
    <x v="70"/>
    <s v="14/12/2022"/>
    <x v="11"/>
    <x v="4"/>
    <x v="0"/>
    <x v="6"/>
    <x v="6"/>
    <x v="0"/>
  </r>
  <r>
    <s v="Funcionário 284"/>
    <d v="2003-05-13T00:00:00"/>
    <x v="70"/>
    <s v="29/12/2022"/>
    <x v="11"/>
    <x v="4"/>
    <x v="0"/>
    <x v="6"/>
    <x v="7"/>
    <x v="0"/>
  </r>
  <r>
    <s v="Funcionário 285"/>
    <d v="1984-09-26T00:00:00"/>
    <x v="70"/>
    <s v="19/04/2023"/>
    <x v="0"/>
    <x v="8"/>
    <x v="0"/>
    <x v="6"/>
    <x v="8"/>
    <x v="0"/>
  </r>
  <r>
    <s v="Funcionário 286"/>
    <d v="1985-05-15T00:00:00"/>
    <x v="71"/>
    <s v="31/05/2023"/>
    <x v="7"/>
    <x v="8"/>
    <x v="7"/>
    <x v="7"/>
    <x v="0"/>
    <x v="0"/>
  </r>
  <r>
    <s v="Funcionário 287"/>
    <d v="2004-06-22T00:00:00"/>
    <x v="71"/>
    <s v="01/02/2023"/>
    <x v="4"/>
    <x v="8"/>
    <x v="7"/>
    <x v="7"/>
    <x v="0"/>
    <x v="0"/>
  </r>
  <r>
    <s v="Funcionário 288"/>
    <d v="1993-03-30T00:00:00"/>
    <x v="71"/>
    <s v="24/08/2023"/>
    <x v="5"/>
    <x v="8"/>
    <x v="7"/>
    <x v="7"/>
    <x v="1"/>
    <x v="0"/>
  </r>
  <r>
    <s v="Funcionário 289"/>
    <d v="1987-06-02T00:00:00"/>
    <x v="71"/>
    <s v="31/05/2023"/>
    <x v="7"/>
    <x v="8"/>
    <x v="7"/>
    <x v="7"/>
    <x v="2"/>
    <x v="0"/>
  </r>
  <r>
    <s v="Funcionário 290"/>
    <d v="1992-11-02T00:00:00"/>
    <x v="71"/>
    <s v="31/05/2023"/>
    <x v="7"/>
    <x v="8"/>
    <x v="7"/>
    <x v="7"/>
    <x v="3"/>
    <x v="0"/>
  </r>
  <r>
    <s v="Funcionário 291"/>
    <d v="2004-06-22T00:00:00"/>
    <x v="71"/>
    <s v="21/02/2023"/>
    <x v="4"/>
    <x v="8"/>
    <x v="7"/>
    <x v="7"/>
    <x v="4"/>
    <x v="0"/>
  </r>
  <r>
    <s v="Funcionário 292"/>
    <d v="1961-09-23T00:00:00"/>
    <x v="71"/>
    <s v="12/05/2023"/>
    <x v="7"/>
    <x v="8"/>
    <x v="7"/>
    <x v="7"/>
    <x v="5"/>
    <x v="0"/>
  </r>
  <r>
    <s v="Funcionário 293"/>
    <d v="1995-03-17T00:00:00"/>
    <x v="71"/>
    <s v="11/01/2024"/>
    <x v="9"/>
    <x v="9"/>
    <x v="7"/>
    <x v="7"/>
    <x v="5"/>
    <x v="0"/>
  </r>
  <r>
    <s v="Funcionário 294"/>
    <d v="2004-08-26T00:00:00"/>
    <x v="71"/>
    <s v="31/05/2023"/>
    <x v="7"/>
    <x v="8"/>
    <x v="7"/>
    <x v="7"/>
    <x v="5"/>
    <x v="0"/>
  </r>
  <r>
    <s v="Funcionário 295"/>
    <d v="1989-04-14T00:00:00"/>
    <x v="71"/>
    <s v="31/05/2023"/>
    <x v="7"/>
    <x v="8"/>
    <x v="7"/>
    <x v="7"/>
    <x v="5"/>
    <x v="0"/>
  </r>
  <r>
    <s v="Funcionário 296"/>
    <d v="1996-10-23T00:00:00"/>
    <x v="71"/>
    <s v="17/02/2023"/>
    <x v="4"/>
    <x v="8"/>
    <x v="7"/>
    <x v="7"/>
    <x v="6"/>
    <x v="0"/>
  </r>
  <r>
    <s v="Funcionário 297"/>
    <d v="1975-05-26T00:00:00"/>
    <x v="72"/>
    <m/>
    <x v="6"/>
    <x v="3"/>
    <x v="1"/>
    <x v="7"/>
    <x v="7"/>
    <x v="1"/>
  </r>
  <r>
    <s v="Funcionário 298"/>
    <d v="1994-12-23T00:00:00"/>
    <x v="73"/>
    <s v="26/04/2023"/>
    <x v="0"/>
    <x v="8"/>
    <x v="1"/>
    <x v="7"/>
    <x v="8"/>
    <x v="0"/>
  </r>
  <r>
    <s v="Funcionário 299"/>
    <d v="1997-01-03T00:00:00"/>
    <x v="73"/>
    <s v="31/05/2023"/>
    <x v="7"/>
    <x v="8"/>
    <x v="1"/>
    <x v="7"/>
    <x v="0"/>
    <x v="0"/>
  </r>
  <r>
    <s v="Funcionário 300"/>
    <d v="1999-05-07T00:00:00"/>
    <x v="73"/>
    <s v="23/03/2023"/>
    <x v="1"/>
    <x v="8"/>
    <x v="1"/>
    <x v="7"/>
    <x v="0"/>
    <x v="0"/>
  </r>
  <r>
    <s v="Funcionário 301"/>
    <d v="1965-08-06T00:00:00"/>
    <x v="74"/>
    <s v="31/05/2023"/>
    <x v="7"/>
    <x v="8"/>
    <x v="1"/>
    <x v="7"/>
    <x v="1"/>
    <x v="0"/>
  </r>
  <r>
    <s v="Funcionário 302"/>
    <d v="2001-01-22T00:00:00"/>
    <x v="74"/>
    <s v="25/03/2023"/>
    <x v="1"/>
    <x v="8"/>
    <x v="1"/>
    <x v="7"/>
    <x v="2"/>
    <x v="0"/>
  </r>
  <r>
    <s v="Funcionário 303"/>
    <d v="2004-06-03T00:00:00"/>
    <x v="75"/>
    <m/>
    <x v="6"/>
    <x v="3"/>
    <x v="1"/>
    <x v="7"/>
    <x v="3"/>
    <x v="1"/>
  </r>
  <r>
    <s v="Funcionário 304"/>
    <d v="1998-04-29T00:00:00"/>
    <x v="76"/>
    <m/>
    <x v="6"/>
    <x v="3"/>
    <x v="8"/>
    <x v="7"/>
    <x v="4"/>
    <x v="1"/>
  </r>
  <r>
    <s v="Funcionário 305"/>
    <d v="2003-07-10T00:00:00"/>
    <x v="76"/>
    <m/>
    <x v="6"/>
    <x v="3"/>
    <x v="8"/>
    <x v="7"/>
    <x v="5"/>
    <x v="1"/>
  </r>
  <r>
    <s v="Funcionário 306"/>
    <d v="1994-02-24T00:00:00"/>
    <x v="76"/>
    <s v="04/05/2023"/>
    <x v="7"/>
    <x v="8"/>
    <x v="8"/>
    <x v="7"/>
    <x v="5"/>
    <x v="0"/>
  </r>
  <r>
    <s v="Funcionário 307"/>
    <d v="1998-11-17T00:00:00"/>
    <x v="76"/>
    <s v="05/09/2023"/>
    <x v="2"/>
    <x v="8"/>
    <x v="8"/>
    <x v="7"/>
    <x v="5"/>
    <x v="0"/>
  </r>
  <r>
    <s v="Funcionário 308"/>
    <d v="2001-07-29T00:00:00"/>
    <x v="77"/>
    <s v="07/12/2023"/>
    <x v="11"/>
    <x v="8"/>
    <x v="8"/>
    <x v="7"/>
    <x v="5"/>
    <x v="0"/>
  </r>
  <r>
    <s v="Funcionário 309"/>
    <d v="1995-08-13T00:00:00"/>
    <x v="77"/>
    <s v="03/04/2023"/>
    <x v="0"/>
    <x v="8"/>
    <x v="8"/>
    <x v="7"/>
    <x v="6"/>
    <x v="0"/>
  </r>
  <r>
    <s v="Funcionário 310"/>
    <d v="1995-08-10T00:00:00"/>
    <x v="78"/>
    <m/>
    <x v="6"/>
    <x v="3"/>
    <x v="8"/>
    <x v="7"/>
    <x v="7"/>
    <x v="1"/>
  </r>
  <r>
    <s v="Funcionário 311"/>
    <d v="1990-08-30T00:00:00"/>
    <x v="79"/>
    <m/>
    <x v="6"/>
    <x v="3"/>
    <x v="8"/>
    <x v="7"/>
    <x v="8"/>
    <x v="1"/>
  </r>
  <r>
    <s v="Funcionário 312"/>
    <d v="2003-08-16T00:00:00"/>
    <x v="80"/>
    <s v="26/04/2023"/>
    <x v="0"/>
    <x v="8"/>
    <x v="8"/>
    <x v="7"/>
    <x v="0"/>
    <x v="0"/>
  </r>
  <r>
    <s v="Funcionário 313"/>
    <d v="1998-12-21T00:00:00"/>
    <x v="81"/>
    <m/>
    <x v="6"/>
    <x v="3"/>
    <x v="8"/>
    <x v="7"/>
    <x v="0"/>
    <x v="1"/>
  </r>
  <r>
    <s v="Funcionário 314"/>
    <d v="1989-02-04T00:00:00"/>
    <x v="82"/>
    <m/>
    <x v="6"/>
    <x v="3"/>
    <x v="2"/>
    <x v="7"/>
    <x v="1"/>
    <x v="1"/>
  </r>
  <r>
    <s v="Funcionário 315"/>
    <d v="1974-02-08T00:00:00"/>
    <x v="83"/>
    <s v="28/06/2023"/>
    <x v="12"/>
    <x v="8"/>
    <x v="11"/>
    <x v="7"/>
    <x v="2"/>
    <x v="0"/>
  </r>
  <r>
    <s v="Funcionário 316"/>
    <d v="1997-08-19T00:00:00"/>
    <x v="83"/>
    <m/>
    <x v="6"/>
    <x v="3"/>
    <x v="11"/>
    <x v="7"/>
    <x v="3"/>
    <x v="1"/>
  </r>
  <r>
    <s v="Funcionário 317"/>
    <d v="1998-09-23T00:00:00"/>
    <x v="84"/>
    <s v="19/05/2023"/>
    <x v="7"/>
    <x v="8"/>
    <x v="11"/>
    <x v="7"/>
    <x v="4"/>
    <x v="0"/>
  </r>
  <r>
    <s v="Funcionário 318"/>
    <d v="2004-01-30T00:00:00"/>
    <x v="85"/>
    <s v="31/05/2023"/>
    <x v="7"/>
    <x v="8"/>
    <x v="11"/>
    <x v="7"/>
    <x v="5"/>
    <x v="0"/>
  </r>
  <r>
    <s v="Funcionário 319"/>
    <d v="1996-05-12T00:00:00"/>
    <x v="85"/>
    <s v="15/06/2023"/>
    <x v="12"/>
    <x v="8"/>
    <x v="11"/>
    <x v="7"/>
    <x v="5"/>
    <x v="0"/>
  </r>
  <r>
    <s v="Funcionário 320"/>
    <d v="1989-12-13T00:00:00"/>
    <x v="85"/>
    <s v="11/05/2023"/>
    <x v="7"/>
    <x v="8"/>
    <x v="11"/>
    <x v="7"/>
    <x v="5"/>
    <x v="0"/>
  </r>
  <r>
    <s v="Funcionário 321"/>
    <d v="2003-10-26T00:00:00"/>
    <x v="86"/>
    <m/>
    <x v="6"/>
    <x v="3"/>
    <x v="11"/>
    <x v="7"/>
    <x v="5"/>
    <x v="1"/>
  </r>
  <r>
    <s v="Funcionário 322"/>
    <d v="1986-01-13T00:00:00"/>
    <x v="87"/>
    <s v="31/05/2023"/>
    <x v="7"/>
    <x v="8"/>
    <x v="11"/>
    <x v="7"/>
    <x v="6"/>
    <x v="0"/>
  </r>
  <r>
    <s v="Funcionário 323"/>
    <d v="2002-05-19T00:00:00"/>
    <x v="88"/>
    <s v="26/06/2023"/>
    <x v="12"/>
    <x v="8"/>
    <x v="11"/>
    <x v="7"/>
    <x v="7"/>
    <x v="0"/>
  </r>
  <r>
    <s v="Funcionário 324"/>
    <d v="1996-06-08T00:00:00"/>
    <x v="88"/>
    <s v="30/09/2023"/>
    <x v="2"/>
    <x v="8"/>
    <x v="11"/>
    <x v="7"/>
    <x v="8"/>
    <x v="0"/>
  </r>
  <r>
    <s v="Funcionário 325"/>
    <d v="1996-07-01T00:00:00"/>
    <x v="88"/>
    <m/>
    <x v="6"/>
    <x v="3"/>
    <x v="11"/>
    <x v="7"/>
    <x v="0"/>
    <x v="1"/>
  </r>
  <r>
    <s v="Funcionário 326"/>
    <d v="2000-12-02T00:00:00"/>
    <x v="89"/>
    <m/>
    <x v="6"/>
    <x v="3"/>
    <x v="11"/>
    <x v="7"/>
    <x v="0"/>
    <x v="1"/>
  </r>
  <r>
    <s v="Funcionário 327"/>
    <d v="2001-01-12T00:00:00"/>
    <x v="90"/>
    <s v="21/06/2023"/>
    <x v="12"/>
    <x v="8"/>
    <x v="11"/>
    <x v="7"/>
    <x v="1"/>
    <x v="0"/>
  </r>
  <r>
    <s v="Funcionário 328"/>
    <d v="1986-02-10T00:00:00"/>
    <x v="91"/>
    <m/>
    <x v="6"/>
    <x v="3"/>
    <x v="11"/>
    <x v="7"/>
    <x v="2"/>
    <x v="1"/>
  </r>
  <r>
    <s v="Funcionário 329"/>
    <d v="1992-08-08T00:00:00"/>
    <x v="92"/>
    <m/>
    <x v="6"/>
    <x v="3"/>
    <x v="11"/>
    <x v="7"/>
    <x v="3"/>
    <x v="1"/>
  </r>
  <r>
    <s v="Funcionário 330"/>
    <d v="1994-08-05T00:00:00"/>
    <x v="93"/>
    <m/>
    <x v="6"/>
    <x v="3"/>
    <x v="9"/>
    <x v="7"/>
    <x v="4"/>
    <x v="1"/>
  </r>
  <r>
    <s v="Funcionário 331"/>
    <d v="1987-06-18T00:00:00"/>
    <x v="93"/>
    <s v="05/10/2023"/>
    <x v="10"/>
    <x v="8"/>
    <x v="9"/>
    <x v="7"/>
    <x v="5"/>
    <x v="0"/>
  </r>
  <r>
    <s v="Funcionário 332"/>
    <d v="2003-05-02T00:00:00"/>
    <x v="94"/>
    <s v="11/09/2023"/>
    <x v="2"/>
    <x v="8"/>
    <x v="9"/>
    <x v="7"/>
    <x v="5"/>
    <x v="0"/>
  </r>
  <r>
    <s v="Funcionário 333"/>
    <d v="1974-11-29T00:00:00"/>
    <x v="95"/>
    <m/>
    <x v="6"/>
    <x v="3"/>
    <x v="9"/>
    <x v="7"/>
    <x v="5"/>
    <x v="1"/>
  </r>
  <r>
    <s v="Funcionário 334"/>
    <d v="1995-02-24T00:00:00"/>
    <x v="95"/>
    <m/>
    <x v="6"/>
    <x v="3"/>
    <x v="9"/>
    <x v="7"/>
    <x v="5"/>
    <x v="1"/>
  </r>
  <r>
    <s v="Funcionário 335"/>
    <d v="1998-07-03T00:00:00"/>
    <x v="96"/>
    <m/>
    <x v="6"/>
    <x v="3"/>
    <x v="9"/>
    <x v="7"/>
    <x v="6"/>
    <x v="1"/>
  </r>
  <r>
    <s v="Funcionário 336"/>
    <d v="1979-03-07T00:00:00"/>
    <x v="97"/>
    <m/>
    <x v="6"/>
    <x v="3"/>
    <x v="4"/>
    <x v="7"/>
    <x v="7"/>
    <x v="1"/>
  </r>
  <r>
    <s v="Funcionário 337"/>
    <d v="2004-07-20T00:00:00"/>
    <x v="97"/>
    <s v="23/08/2023"/>
    <x v="5"/>
    <x v="8"/>
    <x v="4"/>
    <x v="7"/>
    <x v="8"/>
    <x v="0"/>
  </r>
  <r>
    <s v="Funcionário 338"/>
    <d v="2000-05-14T00:00:00"/>
    <x v="97"/>
    <m/>
    <x v="6"/>
    <x v="3"/>
    <x v="4"/>
    <x v="7"/>
    <x v="0"/>
    <x v="1"/>
  </r>
  <r>
    <s v="Funcionário 339"/>
    <d v="1998-03-27T00:00:00"/>
    <x v="98"/>
    <s v="24/08/2023"/>
    <x v="5"/>
    <x v="8"/>
    <x v="4"/>
    <x v="7"/>
    <x v="0"/>
    <x v="0"/>
  </r>
  <r>
    <s v="Funcionário 340"/>
    <d v="1987-10-24T00:00:00"/>
    <x v="99"/>
    <m/>
    <x v="6"/>
    <x v="3"/>
    <x v="4"/>
    <x v="7"/>
    <x v="1"/>
    <x v="1"/>
  </r>
  <r>
    <s v="Funcionário 341"/>
    <d v="1986-07-11T00:00:00"/>
    <x v="100"/>
    <s v="08/01/2024"/>
    <x v="9"/>
    <x v="9"/>
    <x v="5"/>
    <x v="7"/>
    <x v="2"/>
    <x v="0"/>
  </r>
  <r>
    <s v="Funcionário 342"/>
    <d v="1983-02-18T00:00:00"/>
    <x v="101"/>
    <s v="22/09/2023"/>
    <x v="2"/>
    <x v="8"/>
    <x v="5"/>
    <x v="7"/>
    <x v="3"/>
    <x v="0"/>
  </r>
  <r>
    <s v="Funcionário 343"/>
    <d v="2001-12-04T00:00:00"/>
    <x v="101"/>
    <s v="22/09/2023"/>
    <x v="2"/>
    <x v="8"/>
    <x v="5"/>
    <x v="7"/>
    <x v="4"/>
    <x v="0"/>
  </r>
  <r>
    <s v="Funcionário 344"/>
    <d v="1993-02-03T00:00:00"/>
    <x v="101"/>
    <m/>
    <x v="6"/>
    <x v="3"/>
    <x v="5"/>
    <x v="7"/>
    <x v="5"/>
    <x v="1"/>
  </r>
  <r>
    <s v="Funcionário 345"/>
    <d v="1993-02-03T00:00:00"/>
    <x v="101"/>
    <s v="06/11/2023"/>
    <x v="3"/>
    <x v="8"/>
    <x v="5"/>
    <x v="7"/>
    <x v="5"/>
    <x v="0"/>
  </r>
  <r>
    <s v="Funcionário 346"/>
    <d v="2000-05-09T00:00:00"/>
    <x v="101"/>
    <s v="02/10/2023"/>
    <x v="10"/>
    <x v="8"/>
    <x v="5"/>
    <x v="7"/>
    <x v="5"/>
    <x v="0"/>
  </r>
  <r>
    <s v="Funcionário 347"/>
    <d v="1998-08-24T00:00:00"/>
    <x v="101"/>
    <s v="22/09/2023"/>
    <x v="2"/>
    <x v="8"/>
    <x v="5"/>
    <x v="7"/>
    <x v="5"/>
    <x v="0"/>
  </r>
  <r>
    <s v="Funcionário 348"/>
    <d v="1995-12-26T00:00:00"/>
    <x v="101"/>
    <s v="22/09/2023"/>
    <x v="2"/>
    <x v="8"/>
    <x v="5"/>
    <x v="7"/>
    <x v="6"/>
    <x v="0"/>
  </r>
  <r>
    <s v="Funcionário 349"/>
    <d v="1997-01-21T00:00:00"/>
    <x v="102"/>
    <s v="10/10/2023"/>
    <x v="10"/>
    <x v="8"/>
    <x v="6"/>
    <x v="7"/>
    <x v="7"/>
    <x v="0"/>
  </r>
  <r>
    <s v="Funcionário 350"/>
    <d v="1988-03-30T00:00:00"/>
    <x v="102"/>
    <s v="16/12/2023"/>
    <x v="11"/>
    <x v="8"/>
    <x v="6"/>
    <x v="7"/>
    <x v="8"/>
    <x v="0"/>
  </r>
  <r>
    <s v="Funcionário 351"/>
    <d v="2000-01-16T00:00:00"/>
    <x v="102"/>
    <m/>
    <x v="6"/>
    <x v="3"/>
    <x v="6"/>
    <x v="7"/>
    <x v="0"/>
    <x v="1"/>
  </r>
  <r>
    <s v="Funcionário 352"/>
    <d v="1984-12-05T00:00:00"/>
    <x v="102"/>
    <m/>
    <x v="6"/>
    <x v="3"/>
    <x v="6"/>
    <x v="7"/>
    <x v="0"/>
    <x v="1"/>
  </r>
  <r>
    <s v="Funcionário 353"/>
    <d v="1994-12-09T00:00:00"/>
    <x v="102"/>
    <s v="16/12/2023"/>
    <x v="11"/>
    <x v="8"/>
    <x v="6"/>
    <x v="7"/>
    <x v="1"/>
    <x v="0"/>
  </r>
  <r>
    <s v="Funcionário 354"/>
    <d v="1983-09-28T00:00:00"/>
    <x v="102"/>
    <s v="21/09/2023"/>
    <x v="2"/>
    <x v="8"/>
    <x v="6"/>
    <x v="7"/>
    <x v="2"/>
    <x v="0"/>
  </r>
  <r>
    <s v="Funcionário 355"/>
    <d v="1999-02-27T00:00:00"/>
    <x v="102"/>
    <s v="16/10/2023"/>
    <x v="10"/>
    <x v="8"/>
    <x v="6"/>
    <x v="7"/>
    <x v="3"/>
    <x v="0"/>
  </r>
  <r>
    <s v="Funcionário 356"/>
    <d v="1999-03-19T00:00:00"/>
    <x v="102"/>
    <s v="01/11/2023"/>
    <x v="3"/>
    <x v="8"/>
    <x v="6"/>
    <x v="7"/>
    <x v="4"/>
    <x v="0"/>
  </r>
  <r>
    <s v="Funcionário 357"/>
    <d v="1980-09-08T00:00:00"/>
    <x v="103"/>
    <m/>
    <x v="6"/>
    <x v="3"/>
    <x v="10"/>
    <x v="7"/>
    <x v="5"/>
    <x v="1"/>
  </r>
  <r>
    <s v="Funcionário 358"/>
    <d v="1996-12-15T00:00:00"/>
    <x v="103"/>
    <m/>
    <x v="6"/>
    <x v="3"/>
    <x v="10"/>
    <x v="7"/>
    <x v="5"/>
    <x v="1"/>
  </r>
  <r>
    <s v="Funcionário 359"/>
    <d v="1991-12-20T00:00:00"/>
    <x v="103"/>
    <m/>
    <x v="6"/>
    <x v="3"/>
    <x v="10"/>
    <x v="7"/>
    <x v="5"/>
    <x v="1"/>
  </r>
  <r>
    <s v="Funcionário 360"/>
    <d v="1979-08-06T00:00:00"/>
    <x v="103"/>
    <m/>
    <x v="6"/>
    <x v="3"/>
    <x v="10"/>
    <x v="7"/>
    <x v="5"/>
    <x v="1"/>
  </r>
  <r>
    <s v="Funcionário 361"/>
    <d v="2000-03-08T00:00:00"/>
    <x v="103"/>
    <s v="06/11/2023"/>
    <x v="3"/>
    <x v="8"/>
    <x v="10"/>
    <x v="7"/>
    <x v="6"/>
    <x v="0"/>
  </r>
  <r>
    <s v="Funcionário 362"/>
    <d v="1989-08-21T00:00:00"/>
    <x v="103"/>
    <s v="01/11/2023"/>
    <x v="3"/>
    <x v="8"/>
    <x v="10"/>
    <x v="7"/>
    <x v="7"/>
    <x v="0"/>
  </r>
  <r>
    <s v="Funcionário 363"/>
    <d v="1983-10-27T00:00:00"/>
    <x v="103"/>
    <m/>
    <x v="6"/>
    <x v="3"/>
    <x v="10"/>
    <x v="7"/>
    <x v="8"/>
    <x v="1"/>
  </r>
  <r>
    <s v="Funcionário 364"/>
    <d v="1986-06-05T00:00:00"/>
    <x v="103"/>
    <m/>
    <x v="6"/>
    <x v="3"/>
    <x v="10"/>
    <x v="7"/>
    <x v="0"/>
    <x v="1"/>
  </r>
  <r>
    <s v="Funcionário 365"/>
    <d v="1992-09-01T00:00:00"/>
    <x v="103"/>
    <s v="10/01/2024"/>
    <x v="9"/>
    <x v="9"/>
    <x v="10"/>
    <x v="7"/>
    <x v="0"/>
    <x v="0"/>
  </r>
  <r>
    <s v="Funcionário 366"/>
    <d v="2001-10-08T00:00:00"/>
    <x v="103"/>
    <s v="08/01/2024"/>
    <x v="9"/>
    <x v="9"/>
    <x v="10"/>
    <x v="7"/>
    <x v="1"/>
    <x v="0"/>
  </r>
  <r>
    <s v="Funcionário 367"/>
    <d v="1999-10-27T00:00:00"/>
    <x v="103"/>
    <m/>
    <x v="6"/>
    <x v="3"/>
    <x v="10"/>
    <x v="7"/>
    <x v="2"/>
    <x v="1"/>
  </r>
  <r>
    <s v="Funcionário 368"/>
    <d v="2003-03-20T00:00:00"/>
    <x v="103"/>
    <m/>
    <x v="6"/>
    <x v="3"/>
    <x v="10"/>
    <x v="7"/>
    <x v="3"/>
    <x v="1"/>
  </r>
  <r>
    <s v="Funcionário 369"/>
    <d v="1995-03-06T00:00:00"/>
    <x v="103"/>
    <s v="24/10/2023"/>
    <x v="10"/>
    <x v="8"/>
    <x v="10"/>
    <x v="7"/>
    <x v="4"/>
    <x v="0"/>
  </r>
  <r>
    <s v="Funcionário 370"/>
    <d v="1997-09-15T00:00:00"/>
    <x v="104"/>
    <s v="23/11/2023"/>
    <x v="3"/>
    <x v="8"/>
    <x v="10"/>
    <x v="7"/>
    <x v="5"/>
    <x v="0"/>
  </r>
  <r>
    <s v="Funcionário 371"/>
    <d v="1998-01-28T00:00:00"/>
    <x v="104"/>
    <s v="23/11/2023"/>
    <x v="3"/>
    <x v="8"/>
    <x v="10"/>
    <x v="7"/>
    <x v="5"/>
    <x v="0"/>
  </r>
  <r>
    <s v="Funcionário 372"/>
    <d v="2003-03-13T00:00:00"/>
    <x v="104"/>
    <s v="23/11/2023"/>
    <x v="3"/>
    <x v="8"/>
    <x v="10"/>
    <x v="7"/>
    <x v="5"/>
    <x v="0"/>
  </r>
  <r>
    <s v="Funcionário 373"/>
    <d v="1979-03-24T00:00:00"/>
    <x v="104"/>
    <s v="18/10/2023"/>
    <x v="10"/>
    <x v="8"/>
    <x v="10"/>
    <x v="7"/>
    <x v="5"/>
    <x v="0"/>
  </r>
  <r>
    <s v="Funcionário 374"/>
    <d v="1994-11-09T00:00:00"/>
    <x v="105"/>
    <m/>
    <x v="6"/>
    <x v="3"/>
    <x v="10"/>
    <x v="7"/>
    <x v="6"/>
    <x v="1"/>
  </r>
  <r>
    <s v="Funcionário 375"/>
    <d v="1993-04-30T00:00:00"/>
    <x v="106"/>
    <m/>
    <x v="6"/>
    <x v="3"/>
    <x v="10"/>
    <x v="7"/>
    <x v="7"/>
    <x v="1"/>
  </r>
  <r>
    <s v="Funcionário 376"/>
    <d v="2001-11-25T00:00:00"/>
    <x v="107"/>
    <s v="27/11/2023"/>
    <x v="3"/>
    <x v="8"/>
    <x v="10"/>
    <x v="7"/>
    <x v="8"/>
    <x v="0"/>
  </r>
  <r>
    <s v="Funcionário 377"/>
    <d v="2002-11-24T00:00:00"/>
    <x v="108"/>
    <s v="24/11/2023"/>
    <x v="3"/>
    <x v="8"/>
    <x v="0"/>
    <x v="7"/>
    <x v="0"/>
    <x v="0"/>
  </r>
  <r>
    <s v="Funcionário 378"/>
    <d v="1997-12-08T00:00:00"/>
    <x v="109"/>
    <m/>
    <x v="6"/>
    <x v="3"/>
    <x v="7"/>
    <x v="8"/>
    <x v="7"/>
    <x v="1"/>
  </r>
  <r>
    <s v="Funcionário 379"/>
    <d v="1998-05-06T00:00:00"/>
    <x v="109"/>
    <m/>
    <x v="6"/>
    <x v="3"/>
    <x v="7"/>
    <x v="8"/>
    <x v="8"/>
    <x v="1"/>
  </r>
  <r>
    <s v="Funcionário 380"/>
    <d v="1984-11-24T00:00:00"/>
    <x v="109"/>
    <m/>
    <x v="6"/>
    <x v="3"/>
    <x v="7"/>
    <x v="8"/>
    <x v="0"/>
    <x v="1"/>
  </r>
  <r>
    <s v="Funcionario 381"/>
    <d v="1984-11-24T00:00:00"/>
    <x v="109"/>
    <m/>
    <x v="6"/>
    <x v="3"/>
    <x v="7"/>
    <x v="8"/>
    <x v="8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A06067-D144-4529-9A63-E197295785EA}" name="Tabela dinâmica14" cacheId="171" applyNumberFormats="0" applyBorderFormats="0" applyFontFormats="0" applyPatternFormats="0" applyAlignmentFormats="0" applyWidthHeightFormats="1" dataCaption="Valores" updatedVersion="8" minRefreshableVersion="3" showDrill="0" rowGrandTotals="0" colGrandTotals="0" itemPrintTitles="1" createdVersion="8" indent="0" compact="0" compactData="0" multipleFieldFilters="0">
  <location ref="G6:I53" firstHeaderRow="1" firstDataRow="1" firstDataCol="2"/>
  <pivotFields count="1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4" outline="0" showAll="0" defaultSubtotal="0">
      <items count="11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2">
        <item x="7"/>
        <item x="1"/>
        <item x="8"/>
        <item x="2"/>
        <item x="11"/>
        <item x="9"/>
        <item x="4"/>
        <item x="5"/>
        <item x="6"/>
        <item x="10"/>
        <item x="0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6"/>
    <field x="7"/>
  </rowFields>
  <rowItems count="47">
    <i>
      <x/>
      <x v="4"/>
    </i>
    <i r="1">
      <x v="7"/>
    </i>
    <i r="1">
      <x v="8"/>
    </i>
    <i>
      <x v="1"/>
      <x v="1"/>
    </i>
    <i r="1">
      <x v="2"/>
    </i>
    <i r="1">
      <x v="4"/>
    </i>
    <i r="1">
      <x v="6"/>
    </i>
    <i r="1">
      <x v="7"/>
    </i>
    <i>
      <x v="2"/>
      <x v="4"/>
    </i>
    <i r="1">
      <x v="6"/>
    </i>
    <i r="1">
      <x v="7"/>
    </i>
    <i>
      <x v="3"/>
      <x v="2"/>
    </i>
    <i r="1">
      <x v="3"/>
    </i>
    <i r="1">
      <x v="4"/>
    </i>
    <i r="1">
      <x v="5"/>
    </i>
    <i r="1">
      <x v="6"/>
    </i>
    <i r="1">
      <x v="7"/>
    </i>
    <i>
      <x v="4"/>
      <x v="5"/>
    </i>
    <i r="1">
      <x v="7"/>
    </i>
    <i>
      <x v="5"/>
      <x v="4"/>
    </i>
    <i r="1">
      <x v="5"/>
    </i>
    <i r="1">
      <x v="7"/>
    </i>
    <i>
      <x v="6"/>
      <x v="3"/>
    </i>
    <i r="1">
      <x v="5"/>
    </i>
    <i r="1">
      <x v="6"/>
    </i>
    <i r="1">
      <x v="7"/>
    </i>
    <i>
      <x v="7"/>
      <x v="3"/>
    </i>
    <i r="1">
      <x v="4"/>
    </i>
    <i r="1">
      <x v="5"/>
    </i>
    <i r="1">
      <x v="6"/>
    </i>
    <i r="1">
      <x v="7"/>
    </i>
    <i>
      <x v="8"/>
      <x v="3"/>
    </i>
    <i r="1">
      <x v="4"/>
    </i>
    <i r="1">
      <x v="5"/>
    </i>
    <i r="1">
      <x v="6"/>
    </i>
    <i r="1">
      <x v="7"/>
    </i>
    <i>
      <x v="9"/>
      <x v="4"/>
    </i>
    <i r="1">
      <x v="7"/>
    </i>
    <i>
      <x v="10"/>
      <x/>
    </i>
    <i r="1">
      <x v="1"/>
    </i>
    <i r="1">
      <x v="3"/>
    </i>
    <i r="1">
      <x v="4"/>
    </i>
    <i r="1">
      <x v="6"/>
    </i>
    <i r="1">
      <x v="7"/>
    </i>
    <i>
      <x v="11"/>
      <x v="2"/>
    </i>
    <i r="1">
      <x v="3"/>
    </i>
    <i r="1">
      <x v="4"/>
    </i>
  </rowItems>
  <colItems count="1">
    <i/>
  </colItems>
  <dataFields count="1">
    <dataField name=" Admissão" fld="2" subtotal="count" baseField="0" baseItem="0"/>
  </dataFields>
  <formats count="51">
    <format dxfId="188">
      <pivotArea type="all" dataOnly="0" outline="0" fieldPosition="0"/>
    </format>
    <format dxfId="187">
      <pivotArea outline="0" collapsedLevelsAreSubtotals="1" fieldPosition="0"/>
    </format>
    <format dxfId="186">
      <pivotArea field="6" type="button" dataOnly="0" labelOnly="1" outline="0" axis="axisRow" fieldPosition="0"/>
    </format>
    <format dxfId="185">
      <pivotArea field="7" type="button" dataOnly="0" labelOnly="1" outline="0" axis="axisRow" fieldPosition="1"/>
    </format>
    <format dxfId="184">
      <pivotArea dataOnly="0" labelOnly="1" outline="0" fieldPosition="0">
        <references count="1">
          <reference field="6" count="0"/>
        </references>
      </pivotArea>
    </format>
    <format dxfId="183">
      <pivotArea dataOnly="0" labelOnly="1" outline="0" fieldPosition="0">
        <references count="2">
          <reference field="6" count="1" selected="0">
            <x v="0"/>
          </reference>
          <reference field="7" count="3">
            <x v="4"/>
            <x v="7"/>
            <x v="8"/>
          </reference>
        </references>
      </pivotArea>
    </format>
    <format dxfId="182">
      <pivotArea dataOnly="0" labelOnly="1" outline="0" fieldPosition="0">
        <references count="2">
          <reference field="6" count="1" selected="0">
            <x v="1"/>
          </reference>
          <reference field="7" count="5">
            <x v="1"/>
            <x v="2"/>
            <x v="4"/>
            <x v="6"/>
            <x v="7"/>
          </reference>
        </references>
      </pivotArea>
    </format>
    <format dxfId="181">
      <pivotArea dataOnly="0" labelOnly="1" outline="0" fieldPosition="0">
        <references count="2">
          <reference field="6" count="1" selected="0">
            <x v="2"/>
          </reference>
          <reference field="7" count="3">
            <x v="4"/>
            <x v="6"/>
            <x v="7"/>
          </reference>
        </references>
      </pivotArea>
    </format>
    <format dxfId="180">
      <pivotArea dataOnly="0" labelOnly="1" outline="0" fieldPosition="0">
        <references count="2">
          <reference field="6" count="1" selected="0">
            <x v="3"/>
          </reference>
          <reference field="7" count="6">
            <x v="2"/>
            <x v="3"/>
            <x v="4"/>
            <x v="5"/>
            <x v="6"/>
            <x v="7"/>
          </reference>
        </references>
      </pivotArea>
    </format>
    <format dxfId="179">
      <pivotArea dataOnly="0" labelOnly="1" outline="0" fieldPosition="0">
        <references count="2">
          <reference field="6" count="1" selected="0">
            <x v="4"/>
          </reference>
          <reference field="7" count="2">
            <x v="5"/>
            <x v="7"/>
          </reference>
        </references>
      </pivotArea>
    </format>
    <format dxfId="178">
      <pivotArea dataOnly="0" labelOnly="1" outline="0" fieldPosition="0">
        <references count="2">
          <reference field="6" count="1" selected="0">
            <x v="5"/>
          </reference>
          <reference field="7" count="3">
            <x v="4"/>
            <x v="5"/>
            <x v="7"/>
          </reference>
        </references>
      </pivotArea>
    </format>
    <format dxfId="177">
      <pivotArea dataOnly="0" labelOnly="1" outline="0" fieldPosition="0">
        <references count="2">
          <reference field="6" count="1" selected="0">
            <x v="6"/>
          </reference>
          <reference field="7" count="4">
            <x v="3"/>
            <x v="5"/>
            <x v="6"/>
            <x v="7"/>
          </reference>
        </references>
      </pivotArea>
    </format>
    <format dxfId="176">
      <pivotArea dataOnly="0" labelOnly="1" outline="0" fieldPosition="0">
        <references count="2">
          <reference field="6" count="1" selected="0">
            <x v="7"/>
          </reference>
          <reference field="7" count="5">
            <x v="3"/>
            <x v="4"/>
            <x v="5"/>
            <x v="6"/>
            <x v="7"/>
          </reference>
        </references>
      </pivotArea>
    </format>
    <format dxfId="175">
      <pivotArea dataOnly="0" labelOnly="1" outline="0" fieldPosition="0">
        <references count="2">
          <reference field="6" count="1" selected="0">
            <x v="8"/>
          </reference>
          <reference field="7" count="5">
            <x v="3"/>
            <x v="4"/>
            <x v="5"/>
            <x v="6"/>
            <x v="7"/>
          </reference>
        </references>
      </pivotArea>
    </format>
    <format dxfId="174">
      <pivotArea dataOnly="0" labelOnly="1" outline="0" fieldPosition="0">
        <references count="2">
          <reference field="6" count="1" selected="0">
            <x v="9"/>
          </reference>
          <reference field="7" count="2">
            <x v="4"/>
            <x v="7"/>
          </reference>
        </references>
      </pivotArea>
    </format>
    <format dxfId="173">
      <pivotArea dataOnly="0" labelOnly="1" outline="0" fieldPosition="0">
        <references count="2">
          <reference field="6" count="1" selected="0">
            <x v="10"/>
          </reference>
          <reference field="7" count="6">
            <x v="0"/>
            <x v="1"/>
            <x v="3"/>
            <x v="4"/>
            <x v="6"/>
            <x v="7"/>
          </reference>
        </references>
      </pivotArea>
    </format>
    <format dxfId="172">
      <pivotArea dataOnly="0" labelOnly="1" outline="0" fieldPosition="0">
        <references count="2">
          <reference field="6" count="1" selected="0">
            <x v="11"/>
          </reference>
          <reference field="7" count="3">
            <x v="2"/>
            <x v="3"/>
            <x v="4"/>
          </reference>
        </references>
      </pivotArea>
    </format>
    <format dxfId="171">
      <pivotArea dataOnly="0" labelOnly="1" outline="0" axis="axisValues" fieldPosition="0"/>
    </format>
    <format dxfId="170">
      <pivotArea type="all" dataOnly="0" outline="0" fieldPosition="0"/>
    </format>
    <format dxfId="169">
      <pivotArea outline="0" collapsedLevelsAreSubtotals="1" fieldPosition="0"/>
    </format>
    <format dxfId="168">
      <pivotArea field="6" type="button" dataOnly="0" labelOnly="1" outline="0" axis="axisRow" fieldPosition="0"/>
    </format>
    <format dxfId="167">
      <pivotArea field="7" type="button" dataOnly="0" labelOnly="1" outline="0" axis="axisRow" fieldPosition="1"/>
    </format>
    <format dxfId="166">
      <pivotArea dataOnly="0" labelOnly="1" outline="0" fieldPosition="0">
        <references count="1">
          <reference field="6" count="0"/>
        </references>
      </pivotArea>
    </format>
    <format dxfId="165">
      <pivotArea dataOnly="0" labelOnly="1" outline="0" fieldPosition="0">
        <references count="2">
          <reference field="6" count="1" selected="0">
            <x v="0"/>
          </reference>
          <reference field="7" count="3">
            <x v="4"/>
            <x v="7"/>
            <x v="8"/>
          </reference>
        </references>
      </pivotArea>
    </format>
    <format dxfId="164">
      <pivotArea dataOnly="0" labelOnly="1" outline="0" fieldPosition="0">
        <references count="2">
          <reference field="6" count="1" selected="0">
            <x v="1"/>
          </reference>
          <reference field="7" count="5">
            <x v="1"/>
            <x v="2"/>
            <x v="4"/>
            <x v="6"/>
            <x v="7"/>
          </reference>
        </references>
      </pivotArea>
    </format>
    <format dxfId="163">
      <pivotArea dataOnly="0" labelOnly="1" outline="0" fieldPosition="0">
        <references count="2">
          <reference field="6" count="1" selected="0">
            <x v="2"/>
          </reference>
          <reference field="7" count="3">
            <x v="4"/>
            <x v="6"/>
            <x v="7"/>
          </reference>
        </references>
      </pivotArea>
    </format>
    <format dxfId="162">
      <pivotArea dataOnly="0" labelOnly="1" outline="0" fieldPosition="0">
        <references count="2">
          <reference field="6" count="1" selected="0">
            <x v="3"/>
          </reference>
          <reference field="7" count="6">
            <x v="2"/>
            <x v="3"/>
            <x v="4"/>
            <x v="5"/>
            <x v="6"/>
            <x v="7"/>
          </reference>
        </references>
      </pivotArea>
    </format>
    <format dxfId="161">
      <pivotArea dataOnly="0" labelOnly="1" outline="0" fieldPosition="0">
        <references count="2">
          <reference field="6" count="1" selected="0">
            <x v="4"/>
          </reference>
          <reference field="7" count="2">
            <x v="5"/>
            <x v="7"/>
          </reference>
        </references>
      </pivotArea>
    </format>
    <format dxfId="160">
      <pivotArea dataOnly="0" labelOnly="1" outline="0" fieldPosition="0">
        <references count="2">
          <reference field="6" count="1" selected="0">
            <x v="5"/>
          </reference>
          <reference field="7" count="3">
            <x v="4"/>
            <x v="5"/>
            <x v="7"/>
          </reference>
        </references>
      </pivotArea>
    </format>
    <format dxfId="159">
      <pivotArea dataOnly="0" labelOnly="1" outline="0" fieldPosition="0">
        <references count="2">
          <reference field="6" count="1" selected="0">
            <x v="6"/>
          </reference>
          <reference field="7" count="4">
            <x v="3"/>
            <x v="5"/>
            <x v="6"/>
            <x v="7"/>
          </reference>
        </references>
      </pivotArea>
    </format>
    <format dxfId="158">
      <pivotArea dataOnly="0" labelOnly="1" outline="0" fieldPosition="0">
        <references count="2">
          <reference field="6" count="1" selected="0">
            <x v="7"/>
          </reference>
          <reference field="7" count="5">
            <x v="3"/>
            <x v="4"/>
            <x v="5"/>
            <x v="6"/>
            <x v="7"/>
          </reference>
        </references>
      </pivotArea>
    </format>
    <format dxfId="157">
      <pivotArea dataOnly="0" labelOnly="1" outline="0" fieldPosition="0">
        <references count="2">
          <reference field="6" count="1" selected="0">
            <x v="8"/>
          </reference>
          <reference field="7" count="5">
            <x v="3"/>
            <x v="4"/>
            <x v="5"/>
            <x v="6"/>
            <x v="7"/>
          </reference>
        </references>
      </pivotArea>
    </format>
    <format dxfId="156">
      <pivotArea dataOnly="0" labelOnly="1" outline="0" fieldPosition="0">
        <references count="2">
          <reference field="6" count="1" selected="0">
            <x v="9"/>
          </reference>
          <reference field="7" count="2">
            <x v="4"/>
            <x v="7"/>
          </reference>
        </references>
      </pivotArea>
    </format>
    <format dxfId="155">
      <pivotArea dataOnly="0" labelOnly="1" outline="0" fieldPosition="0">
        <references count="2">
          <reference field="6" count="1" selected="0">
            <x v="10"/>
          </reference>
          <reference field="7" count="6">
            <x v="0"/>
            <x v="1"/>
            <x v="3"/>
            <x v="4"/>
            <x v="6"/>
            <x v="7"/>
          </reference>
        </references>
      </pivotArea>
    </format>
    <format dxfId="154">
      <pivotArea dataOnly="0" labelOnly="1" outline="0" fieldPosition="0">
        <references count="2">
          <reference field="6" count="1" selected="0">
            <x v="11"/>
          </reference>
          <reference field="7" count="3">
            <x v="2"/>
            <x v="3"/>
            <x v="4"/>
          </reference>
        </references>
      </pivotArea>
    </format>
    <format dxfId="153">
      <pivotArea dataOnly="0" labelOnly="1" outline="0" axis="axisValues" fieldPosition="0"/>
    </format>
    <format dxfId="152">
      <pivotArea field="6" type="button" dataOnly="0" labelOnly="1" outline="0" axis="axisRow" fieldPosition="0"/>
    </format>
    <format dxfId="151">
      <pivotArea field="7" type="button" dataOnly="0" labelOnly="1" outline="0" axis="axisRow" fieldPosition="1"/>
    </format>
    <format dxfId="150">
      <pivotArea dataOnly="0" labelOnly="1" outline="0" axis="axisValues" fieldPosition="0"/>
    </format>
    <format dxfId="149">
      <pivotArea field="6" type="button" dataOnly="0" labelOnly="1" outline="0" axis="axisRow" fieldPosition="0"/>
    </format>
    <format dxfId="148">
      <pivotArea field="7" type="button" dataOnly="0" labelOnly="1" outline="0" axis="axisRow" fieldPosition="1"/>
    </format>
    <format dxfId="147">
      <pivotArea dataOnly="0" labelOnly="1" outline="0" axis="axisValues" fieldPosition="0"/>
    </format>
    <format dxfId="146">
      <pivotArea field="6" type="button" dataOnly="0" labelOnly="1" outline="0" axis="axisRow" fieldPosition="0"/>
    </format>
    <format dxfId="145">
      <pivotArea field="7" type="button" dataOnly="0" labelOnly="1" outline="0" axis="axisRow" fieldPosition="1"/>
    </format>
    <format dxfId="144">
      <pivotArea dataOnly="0" labelOnly="1" outline="0" axis="axisValues" fieldPosition="0"/>
    </format>
    <format dxfId="143">
      <pivotArea field="6" type="button" dataOnly="0" labelOnly="1" outline="0" axis="axisRow" fieldPosition="0"/>
    </format>
    <format dxfId="142">
      <pivotArea field="7" type="button" dataOnly="0" labelOnly="1" outline="0" axis="axisRow" fieldPosition="1"/>
    </format>
    <format dxfId="141">
      <pivotArea dataOnly="0" labelOnly="1" outline="0" axis="axisValues" fieldPosition="0"/>
    </format>
    <format dxfId="140">
      <pivotArea field="6" type="button" dataOnly="0" labelOnly="1" outline="0" axis="axisRow" fieldPosition="0"/>
    </format>
    <format dxfId="139">
      <pivotArea field="7" type="button" dataOnly="0" labelOnly="1" outline="0" axis="axisRow" fieldPosition="1"/>
    </format>
    <format dxfId="138">
      <pivotArea dataOnly="0" labelOnly="1" outline="0" axis="axisValues" fieldPosition="0"/>
    </format>
  </formats>
  <pivotTableStyleInfo name="PivotStyleMedium2 2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5870AA-F722-4885-8128-F10342EFB61F}" name="Tabela dinâmica13" cacheId="171" applyNumberFormats="0" applyBorderFormats="0" applyFontFormats="0" applyPatternFormats="0" applyAlignmentFormats="0" applyWidthHeightFormats="1" dataCaption="Valores" updatedVersion="8" minRefreshableVersion="3" showDrill="0" rowGrandTotals="0" colGrandTotals="0" itemPrintTitles="1" createdVersion="8" indent="0" compact="0" compactData="0" multipleFieldFilters="0">
  <location ref="C6:E64" firstHeaderRow="1" firstDataRow="1" firstDataCol="2"/>
  <pivotFields count="1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items count="11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3">
        <item x="9"/>
        <item x="4"/>
        <item x="1"/>
        <item x="0"/>
        <item x="7"/>
        <item x="12"/>
        <item x="8"/>
        <item x="5"/>
        <item x="2"/>
        <item x="10"/>
        <item x="3"/>
        <item x="11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0">
        <item x="3"/>
        <item x="0"/>
        <item x="1"/>
        <item x="2"/>
        <item x="7"/>
        <item x="6"/>
        <item x="5"/>
        <item x="4"/>
        <item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6"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4"/>
    <field x="5"/>
  </rowFields>
  <rowItems count="58">
    <i>
      <x/>
      <x v="5"/>
    </i>
    <i r="1">
      <x v="6"/>
    </i>
    <i r="1">
      <x v="7"/>
    </i>
    <i r="1">
      <x v="9"/>
    </i>
    <i>
      <x v="1"/>
      <x v="3"/>
    </i>
    <i r="1">
      <x v="5"/>
    </i>
    <i r="1">
      <x v="6"/>
    </i>
    <i r="1">
      <x v="7"/>
    </i>
    <i r="1">
      <x v="8"/>
    </i>
    <i>
      <x v="2"/>
      <x v="1"/>
    </i>
    <i r="1">
      <x v="5"/>
    </i>
    <i r="1">
      <x v="6"/>
    </i>
    <i r="1">
      <x v="7"/>
    </i>
    <i r="1">
      <x v="8"/>
    </i>
    <i>
      <x v="3"/>
      <x v="1"/>
    </i>
    <i r="1">
      <x v="5"/>
    </i>
    <i r="1">
      <x v="6"/>
    </i>
    <i r="1">
      <x v="7"/>
    </i>
    <i r="1">
      <x v="8"/>
    </i>
    <i>
      <x v="4"/>
      <x v="5"/>
    </i>
    <i r="1">
      <x v="6"/>
    </i>
    <i r="1">
      <x v="7"/>
    </i>
    <i r="1">
      <x v="8"/>
    </i>
    <i>
      <x v="5"/>
      <x v="5"/>
    </i>
    <i r="1">
      <x v="6"/>
    </i>
    <i r="1">
      <x v="8"/>
    </i>
    <i>
      <x v="6"/>
      <x v="5"/>
    </i>
    <i r="1">
      <x v="6"/>
    </i>
    <i r="1">
      <x v="7"/>
    </i>
    <i r="1">
      <x v="8"/>
    </i>
    <i>
      <x v="7"/>
      <x v="3"/>
    </i>
    <i r="1">
      <x v="4"/>
    </i>
    <i r="1">
      <x v="5"/>
    </i>
    <i r="1">
      <x v="6"/>
    </i>
    <i r="1">
      <x v="7"/>
    </i>
    <i r="1">
      <x v="8"/>
    </i>
    <i>
      <x v="8"/>
      <x v="2"/>
    </i>
    <i r="1">
      <x v="4"/>
    </i>
    <i r="1">
      <x v="5"/>
    </i>
    <i r="1">
      <x v="6"/>
    </i>
    <i r="1">
      <x v="7"/>
    </i>
    <i r="1">
      <x v="8"/>
    </i>
    <i>
      <x v="9"/>
      <x v="4"/>
    </i>
    <i r="1">
      <x v="5"/>
    </i>
    <i r="1">
      <x v="6"/>
    </i>
    <i r="1">
      <x v="7"/>
    </i>
    <i r="1">
      <x v="8"/>
    </i>
    <i>
      <x v="10"/>
      <x v="2"/>
    </i>
    <i r="1">
      <x v="4"/>
    </i>
    <i r="1">
      <x v="5"/>
    </i>
    <i r="1">
      <x v="7"/>
    </i>
    <i r="1">
      <x v="8"/>
    </i>
    <i>
      <x v="11"/>
      <x v="4"/>
    </i>
    <i r="1">
      <x v="5"/>
    </i>
    <i r="1">
      <x v="6"/>
    </i>
    <i r="1">
      <x v="7"/>
    </i>
    <i r="1">
      <x v="8"/>
    </i>
    <i>
      <x v="12"/>
      <x/>
    </i>
  </rowItems>
  <colItems count="1">
    <i/>
  </colItems>
  <dataFields count="1">
    <dataField name="Demissões" fld="3" subtotal="count" baseField="0" baseItem="0"/>
  </dataFields>
  <formats count="46">
    <format dxfId="234">
      <pivotArea outline="0" fieldPosition="0">
        <references count="2">
          <reference field="4" count="12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  <reference field="5" count="9" selected="0"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233">
      <pivotArea field="4" type="button" dataOnly="0" labelOnly="1" outline="0" axis="axisRow" fieldPosition="0"/>
    </format>
    <format dxfId="232">
      <pivotArea field="5" type="button" dataOnly="0" labelOnly="1" outline="0" axis="axisRow" fieldPosition="1"/>
    </format>
    <format dxfId="231">
      <pivotArea dataOnly="0" labelOnly="1" outline="0" fieldPosition="0">
        <references count="1">
          <reference field="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230">
      <pivotArea dataOnly="0" labelOnly="1" outline="0" fieldPosition="0">
        <references count="2">
          <reference field="4" count="1" selected="0">
            <x v="0"/>
          </reference>
          <reference field="5" count="4">
            <x v="5"/>
            <x v="6"/>
            <x v="7"/>
            <x v="9"/>
          </reference>
        </references>
      </pivotArea>
    </format>
    <format dxfId="229">
      <pivotArea dataOnly="0" labelOnly="1" outline="0" fieldPosition="0">
        <references count="2">
          <reference field="4" count="1" selected="0">
            <x v="1"/>
          </reference>
          <reference field="5" count="5">
            <x v="3"/>
            <x v="5"/>
            <x v="6"/>
            <x v="7"/>
            <x v="8"/>
          </reference>
        </references>
      </pivotArea>
    </format>
    <format dxfId="228">
      <pivotArea dataOnly="0" labelOnly="1" outline="0" fieldPosition="0">
        <references count="2">
          <reference field="4" count="1" selected="0">
            <x v="2"/>
          </reference>
          <reference field="5" count="5">
            <x v="1"/>
            <x v="5"/>
            <x v="6"/>
            <x v="7"/>
            <x v="8"/>
          </reference>
        </references>
      </pivotArea>
    </format>
    <format dxfId="227">
      <pivotArea dataOnly="0" labelOnly="1" outline="0" fieldPosition="0">
        <references count="2">
          <reference field="4" count="1" selected="0">
            <x v="3"/>
          </reference>
          <reference field="5" count="5">
            <x v="1"/>
            <x v="5"/>
            <x v="6"/>
            <x v="7"/>
            <x v="8"/>
          </reference>
        </references>
      </pivotArea>
    </format>
    <format dxfId="226">
      <pivotArea dataOnly="0" labelOnly="1" outline="0" fieldPosition="0">
        <references count="2">
          <reference field="4" count="1" selected="0">
            <x v="4"/>
          </reference>
          <reference field="5" count="4">
            <x v="5"/>
            <x v="6"/>
            <x v="7"/>
            <x v="8"/>
          </reference>
        </references>
      </pivotArea>
    </format>
    <format dxfId="225">
      <pivotArea dataOnly="0" labelOnly="1" outline="0" fieldPosition="0">
        <references count="2">
          <reference field="4" count="1" selected="0">
            <x v="5"/>
          </reference>
          <reference field="5" count="3">
            <x v="5"/>
            <x v="6"/>
            <x v="8"/>
          </reference>
        </references>
      </pivotArea>
    </format>
    <format dxfId="224">
      <pivotArea dataOnly="0" labelOnly="1" outline="0" fieldPosition="0">
        <references count="2">
          <reference field="4" count="1" selected="0">
            <x v="6"/>
          </reference>
          <reference field="5" count="4">
            <x v="5"/>
            <x v="6"/>
            <x v="7"/>
            <x v="8"/>
          </reference>
        </references>
      </pivotArea>
    </format>
    <format dxfId="223">
      <pivotArea dataOnly="0" labelOnly="1" outline="0" fieldPosition="0">
        <references count="2">
          <reference field="4" count="1" selected="0">
            <x v="7"/>
          </reference>
          <reference field="5" count="6">
            <x v="3"/>
            <x v="4"/>
            <x v="5"/>
            <x v="6"/>
            <x v="7"/>
            <x v="8"/>
          </reference>
        </references>
      </pivotArea>
    </format>
    <format dxfId="222">
      <pivotArea dataOnly="0" labelOnly="1" outline="0" fieldPosition="0">
        <references count="2">
          <reference field="4" count="1" selected="0">
            <x v="8"/>
          </reference>
          <reference field="5" count="6">
            <x v="2"/>
            <x v="4"/>
            <x v="5"/>
            <x v="6"/>
            <x v="7"/>
            <x v="8"/>
          </reference>
        </references>
      </pivotArea>
    </format>
    <format dxfId="221">
      <pivotArea dataOnly="0" labelOnly="1" outline="0" fieldPosition="0">
        <references count="2">
          <reference field="4" count="1" selected="0">
            <x v="9"/>
          </reference>
          <reference field="5" count="5">
            <x v="4"/>
            <x v="5"/>
            <x v="6"/>
            <x v="7"/>
            <x v="8"/>
          </reference>
        </references>
      </pivotArea>
    </format>
    <format dxfId="220">
      <pivotArea dataOnly="0" labelOnly="1" outline="0" fieldPosition="0">
        <references count="2">
          <reference field="4" count="1" selected="0">
            <x v="10"/>
          </reference>
          <reference field="5" count="5">
            <x v="2"/>
            <x v="4"/>
            <x v="5"/>
            <x v="7"/>
            <x v="8"/>
          </reference>
        </references>
      </pivotArea>
    </format>
    <format dxfId="219">
      <pivotArea dataOnly="0" labelOnly="1" outline="0" fieldPosition="0">
        <references count="2">
          <reference field="4" count="1" selected="0">
            <x v="11"/>
          </reference>
          <reference field="5" count="5">
            <x v="4"/>
            <x v="5"/>
            <x v="6"/>
            <x v="7"/>
            <x v="8"/>
          </reference>
        </references>
      </pivotArea>
    </format>
    <format dxfId="218">
      <pivotArea dataOnly="0" labelOnly="1" outline="0" axis="axisValues" fieldPosition="0"/>
    </format>
    <format dxfId="217">
      <pivotArea outline="0" fieldPosition="0">
        <references count="2">
          <reference field="4" count="12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  <reference field="5" count="9" selected="0"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216">
      <pivotArea field="4" type="button" dataOnly="0" labelOnly="1" outline="0" axis="axisRow" fieldPosition="0"/>
    </format>
    <format dxfId="215">
      <pivotArea field="5" type="button" dataOnly="0" labelOnly="1" outline="0" axis="axisRow" fieldPosition="1"/>
    </format>
    <format dxfId="214">
      <pivotArea dataOnly="0" labelOnly="1" outline="0" fieldPosition="0">
        <references count="1">
          <reference field="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213">
      <pivotArea dataOnly="0" labelOnly="1" outline="0" fieldPosition="0">
        <references count="2">
          <reference field="4" count="1" selected="0">
            <x v="0"/>
          </reference>
          <reference field="5" count="4">
            <x v="5"/>
            <x v="6"/>
            <x v="7"/>
            <x v="9"/>
          </reference>
        </references>
      </pivotArea>
    </format>
    <format dxfId="212">
      <pivotArea dataOnly="0" labelOnly="1" outline="0" fieldPosition="0">
        <references count="2">
          <reference field="4" count="1" selected="0">
            <x v="1"/>
          </reference>
          <reference field="5" count="5">
            <x v="3"/>
            <x v="5"/>
            <x v="6"/>
            <x v="7"/>
            <x v="8"/>
          </reference>
        </references>
      </pivotArea>
    </format>
    <format dxfId="211">
      <pivotArea dataOnly="0" labelOnly="1" outline="0" fieldPosition="0">
        <references count="2">
          <reference field="4" count="1" selected="0">
            <x v="2"/>
          </reference>
          <reference field="5" count="5">
            <x v="1"/>
            <x v="5"/>
            <x v="6"/>
            <x v="7"/>
            <x v="8"/>
          </reference>
        </references>
      </pivotArea>
    </format>
    <format dxfId="210">
      <pivotArea dataOnly="0" labelOnly="1" outline="0" fieldPosition="0">
        <references count="2">
          <reference field="4" count="1" selected="0">
            <x v="3"/>
          </reference>
          <reference field="5" count="5">
            <x v="1"/>
            <x v="5"/>
            <x v="6"/>
            <x v="7"/>
            <x v="8"/>
          </reference>
        </references>
      </pivotArea>
    </format>
    <format dxfId="209">
      <pivotArea dataOnly="0" labelOnly="1" outline="0" fieldPosition="0">
        <references count="2">
          <reference field="4" count="1" selected="0">
            <x v="4"/>
          </reference>
          <reference field="5" count="4">
            <x v="5"/>
            <x v="6"/>
            <x v="7"/>
            <x v="8"/>
          </reference>
        </references>
      </pivotArea>
    </format>
    <format dxfId="208">
      <pivotArea dataOnly="0" labelOnly="1" outline="0" fieldPosition="0">
        <references count="2">
          <reference field="4" count="1" selected="0">
            <x v="5"/>
          </reference>
          <reference field="5" count="3">
            <x v="5"/>
            <x v="6"/>
            <x v="8"/>
          </reference>
        </references>
      </pivotArea>
    </format>
    <format dxfId="207">
      <pivotArea dataOnly="0" labelOnly="1" outline="0" fieldPosition="0">
        <references count="2">
          <reference field="4" count="1" selected="0">
            <x v="6"/>
          </reference>
          <reference field="5" count="4">
            <x v="5"/>
            <x v="6"/>
            <x v="7"/>
            <x v="8"/>
          </reference>
        </references>
      </pivotArea>
    </format>
    <format dxfId="206">
      <pivotArea dataOnly="0" labelOnly="1" outline="0" fieldPosition="0">
        <references count="2">
          <reference field="4" count="1" selected="0">
            <x v="7"/>
          </reference>
          <reference field="5" count="6">
            <x v="3"/>
            <x v="4"/>
            <x v="5"/>
            <x v="6"/>
            <x v="7"/>
            <x v="8"/>
          </reference>
        </references>
      </pivotArea>
    </format>
    <format dxfId="205">
      <pivotArea dataOnly="0" labelOnly="1" outline="0" fieldPosition="0">
        <references count="2">
          <reference field="4" count="1" selected="0">
            <x v="8"/>
          </reference>
          <reference field="5" count="6">
            <x v="2"/>
            <x v="4"/>
            <x v="5"/>
            <x v="6"/>
            <x v="7"/>
            <x v="8"/>
          </reference>
        </references>
      </pivotArea>
    </format>
    <format dxfId="204">
      <pivotArea dataOnly="0" labelOnly="1" outline="0" fieldPosition="0">
        <references count="2">
          <reference field="4" count="1" selected="0">
            <x v="9"/>
          </reference>
          <reference field="5" count="5">
            <x v="4"/>
            <x v="5"/>
            <x v="6"/>
            <x v="7"/>
            <x v="8"/>
          </reference>
        </references>
      </pivotArea>
    </format>
    <format dxfId="203">
      <pivotArea dataOnly="0" labelOnly="1" outline="0" fieldPosition="0">
        <references count="2">
          <reference field="4" count="1" selected="0">
            <x v="10"/>
          </reference>
          <reference field="5" count="5">
            <x v="2"/>
            <x v="4"/>
            <x v="5"/>
            <x v="7"/>
            <x v="8"/>
          </reference>
        </references>
      </pivotArea>
    </format>
    <format dxfId="202">
      <pivotArea dataOnly="0" labelOnly="1" outline="0" fieldPosition="0">
        <references count="2">
          <reference field="4" count="1" selected="0">
            <x v="11"/>
          </reference>
          <reference field="5" count="5">
            <x v="4"/>
            <x v="5"/>
            <x v="6"/>
            <x v="7"/>
            <x v="8"/>
          </reference>
        </references>
      </pivotArea>
    </format>
    <format dxfId="201">
      <pivotArea dataOnly="0" labelOnly="1" outline="0" axis="axisValues" fieldPosition="0"/>
    </format>
    <format dxfId="200">
      <pivotArea field="4" type="button" dataOnly="0" labelOnly="1" outline="0" axis="axisRow" fieldPosition="0"/>
    </format>
    <format dxfId="199">
      <pivotArea field="5" type="button" dataOnly="0" labelOnly="1" outline="0" axis="axisRow" fieldPosition="1"/>
    </format>
    <format dxfId="198">
      <pivotArea dataOnly="0" labelOnly="1" outline="0" axis="axisValues" fieldPosition="0"/>
    </format>
    <format dxfId="197">
      <pivotArea field="4" type="button" dataOnly="0" labelOnly="1" outline="0" axis="axisRow" fieldPosition="0"/>
    </format>
    <format dxfId="196">
      <pivotArea field="5" type="button" dataOnly="0" labelOnly="1" outline="0" axis="axisRow" fieldPosition="1"/>
    </format>
    <format dxfId="195">
      <pivotArea dataOnly="0" labelOnly="1" outline="0" axis="axisValues" fieldPosition="0"/>
    </format>
    <format dxfId="194">
      <pivotArea field="4" type="button" dataOnly="0" labelOnly="1" outline="0" axis="axisRow" fieldPosition="0"/>
    </format>
    <format dxfId="193">
      <pivotArea field="5" type="button" dataOnly="0" labelOnly="1" outline="0" axis="axisRow" fieldPosition="1"/>
    </format>
    <format dxfId="192">
      <pivotArea dataOnly="0" labelOnly="1" outline="0" axis="axisValues" fieldPosition="0"/>
    </format>
    <format dxfId="191">
      <pivotArea field="4" type="button" dataOnly="0" labelOnly="1" outline="0" axis="axisRow" fieldPosition="0"/>
    </format>
    <format dxfId="190">
      <pivotArea field="5" type="button" dataOnly="0" labelOnly="1" outline="0" axis="axisRow" fieldPosition="1"/>
    </format>
    <format dxfId="189">
      <pivotArea dataOnly="0" labelOnly="1" outline="0" axis="axisValues" fieldPosition="0"/>
    </format>
  </formats>
  <pivotTableStyleInfo name="PivotStyleMedium2 2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F318D-4C3B-46BA-8850-BEE4F698E428}" name="Tabela dinâmica17" cacheId="171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compact="0" compactData="0" multipleFieldFilters="0">
  <location ref="K6:L8" firstHeaderRow="1" firstDataRow="1" firstDataCol="1"/>
  <pivotFields count="13">
    <pivotField compact="0" outline="0" showAll="0" defaultSubtotal="0"/>
    <pivotField compact="0" numFmtId="14" outline="0" showAll="0" defaultSubtotal="0"/>
    <pivotField compact="0" numFmtId="14" outline="0" showAll="0" defaultSubtotal="0">
      <items count="11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</items>
    </pivotField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Row" dataField="1" compact="0" outline="0" subtotalTop="0" showAll="0" defaultSubtotal="0">
      <items count="2">
        <item x="0"/>
        <item x="1"/>
      </items>
    </pivotField>
    <pivotField compact="0" outline="0" subtotalTop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</items>
    </pivotField>
  </pivotFields>
  <rowFields count="1">
    <field x="9"/>
  </rowFields>
  <rowItems count="2">
    <i>
      <x/>
    </i>
    <i>
      <x v="1"/>
    </i>
  </rowItems>
  <colItems count="1">
    <i/>
  </colItems>
  <dataFields count="1">
    <dataField name="Total" fld="9" subtotal="count" baseField="9" baseItem="0"/>
  </dataFields>
  <formats count="14">
    <format dxfId="248">
      <pivotArea field="9" type="button" dataOnly="0" labelOnly="1" outline="0" axis="axisRow" fieldPosition="0"/>
    </format>
    <format dxfId="247">
      <pivotArea dataOnly="0" labelOnly="1" outline="0" axis="axisValues" fieldPosition="0"/>
    </format>
    <format dxfId="246">
      <pivotArea type="all" dataOnly="0" outline="0" fieldPosition="0"/>
    </format>
    <format dxfId="245">
      <pivotArea outline="0" collapsedLevelsAreSubtotals="1" fieldPosition="0"/>
    </format>
    <format dxfId="244">
      <pivotArea field="9" type="button" dataOnly="0" labelOnly="1" outline="0" axis="axisRow" fieldPosition="0"/>
    </format>
    <format dxfId="243">
      <pivotArea dataOnly="0" labelOnly="1" outline="0" fieldPosition="0">
        <references count="1">
          <reference field="9" count="0"/>
        </references>
      </pivotArea>
    </format>
    <format dxfId="242">
      <pivotArea dataOnly="0" labelOnly="1" outline="0" axis="axisValues" fieldPosition="0"/>
    </format>
    <format dxfId="241">
      <pivotArea type="all" dataOnly="0" outline="0" fieldPosition="0"/>
    </format>
    <format dxfId="240">
      <pivotArea outline="0" collapsedLevelsAreSubtotals="1" fieldPosition="0"/>
    </format>
    <format dxfId="239">
      <pivotArea field="9" type="button" dataOnly="0" labelOnly="1" outline="0" axis="axisRow" fieldPosition="0"/>
    </format>
    <format dxfId="238">
      <pivotArea dataOnly="0" labelOnly="1" outline="0" fieldPosition="0">
        <references count="1">
          <reference field="9" count="0"/>
        </references>
      </pivotArea>
    </format>
    <format dxfId="237">
      <pivotArea dataOnly="0" labelOnly="1" outline="0" axis="axisValues" fieldPosition="0"/>
    </format>
    <format dxfId="236">
      <pivotArea field="9" type="button" dataOnly="0" labelOnly="1" outline="0" axis="axisRow" fieldPosition="0"/>
    </format>
    <format dxfId="235">
      <pivotArea dataOnly="0" labelOnly="1" outline="0" axis="axisValues" fieldPosition="0"/>
    </format>
  </formats>
  <pivotTableStyleInfo name="PivotStyleMedium2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CF3750-8BA6-4A42-A21D-ECEFCEDA6880}" name="Tabela dinâmica18" cacheId="171" applyNumberFormats="0" applyBorderFormats="0" applyFontFormats="0" applyPatternFormats="0" applyAlignmentFormats="0" applyWidthHeightFormats="1" dataCaption="Valores" updatedVersion="8" minRefreshableVersion="3" showDrill="0" rowGrandTotals="0" colGrandTotals="0" itemPrintTitles="1" createdVersion="8" indent="0" compact="0" compactData="0" multipleFieldFilters="0" chartFormat="8">
  <location ref="K10:M19" firstHeaderRow="1" firstDataRow="1" firstDataCol="2"/>
  <pivotFields count="1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items count="11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sortType="ascending" defaultSubtotal="0">
      <items count="9">
        <item x="6"/>
        <item x="7"/>
        <item x="8"/>
        <item x="4"/>
        <item x="2"/>
        <item x="5"/>
        <item x="0"/>
        <item x="3"/>
        <item x="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ubtotalTop="0" showAll="0" defaultSubtotal="0">
      <items count="2">
        <item h="1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9"/>
    <field x="8"/>
  </rowFields>
  <rowItems count="9">
    <i>
      <x v="1"/>
      <x/>
    </i>
    <i r="1">
      <x v="8"/>
    </i>
    <i r="1">
      <x v="4"/>
    </i>
    <i r="1">
      <x v="2"/>
    </i>
    <i r="1">
      <x v="1"/>
    </i>
    <i r="1">
      <x v="3"/>
    </i>
    <i r="1">
      <x v="7"/>
    </i>
    <i r="1">
      <x v="6"/>
    </i>
    <i r="1">
      <x v="5"/>
    </i>
  </rowItems>
  <colItems count="1">
    <i/>
  </colItems>
  <dataFields count="1">
    <dataField name="Total" fld="9" subtotal="count" baseField="8" baseItem="0"/>
  </dataFields>
  <formats count="20">
    <format dxfId="268">
      <pivotArea field="9" type="button" dataOnly="0" labelOnly="1" outline="0" axis="axisRow" fieldPosition="0"/>
    </format>
    <format dxfId="267">
      <pivotArea field="8" type="button" dataOnly="0" labelOnly="1" outline="0" axis="axisRow" fieldPosition="1"/>
    </format>
    <format dxfId="266">
      <pivotArea dataOnly="0" labelOnly="1" outline="0" axis="axisValues" fieldPosition="0"/>
    </format>
    <format dxfId="265">
      <pivotArea type="all" dataOnly="0" outline="0" fieldPosition="0"/>
    </format>
    <format dxfId="264">
      <pivotArea outline="0" collapsedLevelsAreSubtotals="1" fieldPosition="0"/>
    </format>
    <format dxfId="263">
      <pivotArea field="9" type="button" dataOnly="0" labelOnly="1" outline="0" axis="axisRow" fieldPosition="0"/>
    </format>
    <format dxfId="262">
      <pivotArea field="8" type="button" dataOnly="0" labelOnly="1" outline="0" axis="axisRow" fieldPosition="1"/>
    </format>
    <format dxfId="261">
      <pivotArea dataOnly="0" labelOnly="1" outline="0" fieldPosition="0">
        <references count="1">
          <reference field="9" count="0"/>
        </references>
      </pivotArea>
    </format>
    <format dxfId="260">
      <pivotArea dataOnly="0" labelOnly="1" outline="0" fieldPosition="0">
        <references count="2">
          <reference field="8" count="0"/>
          <reference field="9" count="0" selected="0"/>
        </references>
      </pivotArea>
    </format>
    <format dxfId="259">
      <pivotArea dataOnly="0" labelOnly="1" outline="0" axis="axisValues" fieldPosition="0"/>
    </format>
    <format dxfId="258">
      <pivotArea type="all" dataOnly="0" outline="0" fieldPosition="0"/>
    </format>
    <format dxfId="257">
      <pivotArea outline="0" collapsedLevelsAreSubtotals="1" fieldPosition="0"/>
    </format>
    <format dxfId="256">
      <pivotArea field="9" type="button" dataOnly="0" labelOnly="1" outline="0" axis="axisRow" fieldPosition="0"/>
    </format>
    <format dxfId="255">
      <pivotArea field="8" type="button" dataOnly="0" labelOnly="1" outline="0" axis="axisRow" fieldPosition="1"/>
    </format>
    <format dxfId="254">
      <pivotArea dataOnly="0" labelOnly="1" outline="0" fieldPosition="0">
        <references count="1">
          <reference field="9" count="0"/>
        </references>
      </pivotArea>
    </format>
    <format dxfId="253">
      <pivotArea dataOnly="0" labelOnly="1" outline="0" fieldPosition="0">
        <references count="2">
          <reference field="8" count="0"/>
          <reference field="9" count="0" selected="0"/>
        </references>
      </pivotArea>
    </format>
    <format dxfId="252">
      <pivotArea dataOnly="0" labelOnly="1" outline="0" axis="axisValues" fieldPosition="0"/>
    </format>
    <format dxfId="251">
      <pivotArea field="9" type="button" dataOnly="0" labelOnly="1" outline="0" axis="axisRow" fieldPosition="0"/>
    </format>
    <format dxfId="250">
      <pivotArea field="8" type="button" dataOnly="0" labelOnly="1" outline="0" axis="axisRow" fieldPosition="1"/>
    </format>
    <format dxfId="249">
      <pivotArea dataOnly="0" labelOnly="1" outline="0" axis="axisValues" fieldPosition="0"/>
    </format>
  </formats>
  <chartFormats count="10">
    <chartFormat chart="7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53">
      <pivotArea type="data" outline="0" fieldPosition="0">
        <references count="3">
          <reference field="4294967294" count="1" selected="0">
            <x v="0"/>
          </reference>
          <reference field="8" count="1" selected="0">
            <x v="0"/>
          </reference>
          <reference field="9" count="1" selected="0">
            <x v="1"/>
          </reference>
        </references>
      </pivotArea>
    </chartFormat>
    <chartFormat chart="7" format="54">
      <pivotArea type="data" outline="0" fieldPosition="0">
        <references count="3">
          <reference field="4294967294" count="1" selected="0">
            <x v="0"/>
          </reference>
          <reference field="8" count="1" selected="0">
            <x v="1"/>
          </reference>
          <reference field="9" count="1" selected="0">
            <x v="1"/>
          </reference>
        </references>
      </pivotArea>
    </chartFormat>
    <chartFormat chart="7" format="55">
      <pivotArea type="data" outline="0" fieldPosition="0">
        <references count="3">
          <reference field="4294967294" count="1" selected="0">
            <x v="0"/>
          </reference>
          <reference field="8" count="1" selected="0">
            <x v="2"/>
          </reference>
          <reference field="9" count="1" selected="0">
            <x v="1"/>
          </reference>
        </references>
      </pivotArea>
    </chartFormat>
    <chartFormat chart="7" format="56">
      <pivotArea type="data" outline="0" fieldPosition="0">
        <references count="3">
          <reference field="4294967294" count="1" selected="0">
            <x v="0"/>
          </reference>
          <reference field="8" count="1" selected="0">
            <x v="3"/>
          </reference>
          <reference field="9" count="1" selected="0">
            <x v="1"/>
          </reference>
        </references>
      </pivotArea>
    </chartFormat>
    <chartFormat chart="7" format="57">
      <pivotArea type="data" outline="0" fieldPosition="0">
        <references count="3">
          <reference field="4294967294" count="1" selected="0">
            <x v="0"/>
          </reference>
          <reference field="8" count="1" selected="0">
            <x v="4"/>
          </reference>
          <reference field="9" count="1" selected="0">
            <x v="1"/>
          </reference>
        </references>
      </pivotArea>
    </chartFormat>
    <chartFormat chart="7" format="58">
      <pivotArea type="data" outline="0" fieldPosition="0">
        <references count="3">
          <reference field="4294967294" count="1" selected="0">
            <x v="0"/>
          </reference>
          <reference field="8" count="1" selected="0">
            <x v="5"/>
          </reference>
          <reference field="9" count="1" selected="0">
            <x v="1"/>
          </reference>
        </references>
      </pivotArea>
    </chartFormat>
    <chartFormat chart="7" format="59">
      <pivotArea type="data" outline="0" fieldPosition="0">
        <references count="3">
          <reference field="4294967294" count="1" selected="0">
            <x v="0"/>
          </reference>
          <reference field="8" count="1" selected="0">
            <x v="6"/>
          </reference>
          <reference field="9" count="1" selected="0">
            <x v="1"/>
          </reference>
        </references>
      </pivotArea>
    </chartFormat>
    <chartFormat chart="7" format="60">
      <pivotArea type="data" outline="0" fieldPosition="0">
        <references count="3">
          <reference field="4294967294" count="1" selected="0">
            <x v="0"/>
          </reference>
          <reference field="8" count="1" selected="0">
            <x v="7"/>
          </reference>
          <reference field="9" count="1" selected="0">
            <x v="1"/>
          </reference>
        </references>
      </pivotArea>
    </chartFormat>
    <chartFormat chart="7" format="61">
      <pivotArea type="data" outline="0" fieldPosition="0">
        <references count="3">
          <reference field="4294967294" count="1" selected="0">
            <x v="0"/>
          </reference>
          <reference field="8" count="1" selected="0">
            <x v="8"/>
          </reference>
          <reference field="9" count="1" selected="0">
            <x v="1"/>
          </reference>
        </references>
      </pivotArea>
    </chartFormat>
  </chartFormats>
  <pivotTableStyleInfo name="PivotStyleMedium2 2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B44E1D-2D40-4ACF-94B7-A7C4E95497D2}" name="Tabela dinâmica16" cacheId="170" applyNumberFormats="0" applyBorderFormats="0" applyFontFormats="0" applyPatternFormats="0" applyAlignmentFormats="0" applyWidthHeightFormats="1" dataCaption="Valores" updatedVersion="8" minRefreshableVersion="3" showDrill="0" useAutoFormatting="1" rowGrandTotals="0" colGrandTotals="0" itemPrintTitles="1" createdVersion="8" indent="0" compact="0" compactData="0" multipleFieldFilters="0" chartFormat="14">
  <location ref="D2:I14" firstHeaderRow="0" firstDataRow="1" firstDataCol="1"/>
  <pivotFields count="8">
    <pivotField compact="0" outline="0" showAll="0" defaultSubtotal="0">
      <items count="6">
        <item x="0"/>
        <item x="1"/>
        <item x="2"/>
        <item x="3"/>
        <item x="4"/>
        <item x="5"/>
      </items>
    </pivotField>
    <pivotField axis="axisRow" compact="0" outline="0" showAll="0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 nº de funcionários" fld="2" baseField="0" baseItem="0"/>
    <dataField name=" nº de admissões" fld="3" baseField="0" baseItem="0"/>
    <dataField name=" nº de demissões" fld="4" baseField="0" baseItem="0"/>
    <dataField name=" nº de demissões voluntárias" fld="5" baseField="1" baseItem="0"/>
    <dataField name=" Turnover" fld="7" baseField="1" baseItem="0" numFmtId="164"/>
  </dataFields>
  <formats count="25">
    <format dxfId="124">
      <pivotArea type="all" dataOnly="0" outline="0" fieldPosition="0"/>
    </format>
    <format dxfId="123">
      <pivotArea outline="0" collapsedLevelsAreSubtotals="1" fieldPosition="0"/>
    </format>
    <format dxfId="122">
      <pivotArea field="1" type="button" dataOnly="0" labelOnly="1" outline="0" axis="axisRow" fieldPosition="0"/>
    </format>
    <format dxfId="121">
      <pivotArea dataOnly="0" labelOnly="1" outline="0" fieldPosition="0">
        <references count="1">
          <reference field="1" count="0"/>
        </references>
      </pivotArea>
    </format>
    <format dxfId="12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9">
      <pivotArea field="1" type="button" dataOnly="0" labelOnly="1" outline="0" axis="axisRow" fieldPosition="0"/>
    </format>
    <format dxfId="11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7">
      <pivotArea field="1" type="button" dataOnly="0" labelOnly="1" outline="0" axis="axisRow" fieldPosition="0"/>
    </format>
    <format dxfId="11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5">
      <pivotArea type="all" dataOnly="0" outline="0" fieldPosition="0"/>
    </format>
    <format dxfId="114">
      <pivotArea outline="0" collapsedLevelsAreSubtotals="1" fieldPosition="0"/>
    </format>
    <format dxfId="113">
      <pivotArea field="1" type="button" dataOnly="0" labelOnly="1" outline="0" axis="axisRow" fieldPosition="0"/>
    </format>
    <format dxfId="112">
      <pivotArea dataOnly="0" labelOnly="1" outline="0" fieldPosition="0">
        <references count="1">
          <reference field="1" count="0"/>
        </references>
      </pivotArea>
    </format>
    <format dxfId="11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0">
      <pivotArea field="1" type="button" dataOnly="0" labelOnly="1" outline="0" axis="axisRow" fieldPosition="0"/>
    </format>
    <format dxfId="10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08">
      <pivotArea field="1" type="button" dataOnly="0" labelOnly="1" outline="0" axis="axisRow" fieldPosition="0"/>
    </format>
    <format dxfId="10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06">
      <pivotArea field="1" type="button" dataOnly="0" labelOnly="1" outline="0" axis="axisRow" fieldPosition="0"/>
    </format>
    <format dxfId="10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04">
      <pivotArea type="all" dataOnly="0" outline="0" fieldPosition="0"/>
    </format>
    <format dxfId="103">
      <pivotArea outline="0" collapsedLevelsAreSubtotals="1" fieldPosition="0"/>
    </format>
    <format dxfId="102">
      <pivotArea field="1" type="button" dataOnly="0" labelOnly="1" outline="0" axis="axisRow" fieldPosition="0"/>
    </format>
    <format dxfId="101">
      <pivotArea dataOnly="0" labelOnly="1" outline="0" fieldPosition="0">
        <references count="1">
          <reference field="1" count="0"/>
        </references>
      </pivotArea>
    </format>
    <format dxfId="10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5">
    <chartFormat chart="11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saída" xr10:uid="{47908E34-9A45-4C46-8BBA-ED36AB4C59D8}" sourceName="Mês saída">
  <pivotTables>
    <pivotTable tabId="2" name="Tabela dinâmica13"/>
  </pivotTables>
  <data>
    <tabular pivotCacheId="1821397517" showMissing="0">
      <items count="13">
        <i x="9" s="1"/>
        <i x="4" s="1"/>
        <i x="1" s="1"/>
        <i x="0" s="1"/>
        <i x="7" s="1"/>
        <i x="12" s="1"/>
        <i x="8" s="1"/>
        <i x="5" s="1"/>
        <i x="2" s="1"/>
        <i x="10" s="1"/>
        <i x="3" s="1"/>
        <i x="11" s="1"/>
        <i x="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saída" xr10:uid="{82EE09BF-CDE6-403B-937C-FEC347A53C88}" sourceName="Ano saída">
  <pivotTables>
    <pivotTable tabId="2" name="Tabela dinâmica13"/>
  </pivotTables>
  <data>
    <tabular pivotCacheId="1821397517" showMissing="0">
      <items count="10">
        <i x="0" s="1"/>
        <i x="1" s="1"/>
        <i x="2" s="1"/>
        <i x="7" s="1"/>
        <i x="6" s="1"/>
        <i x="5" s="1"/>
        <i x="4" s="1"/>
        <i x="8" s="1"/>
        <i x="9" s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entrada" xr10:uid="{7D3BE9C9-39E7-4CD0-9966-42EAF171F7F7}" sourceName="Ano entrada">
  <pivotTables>
    <pivotTable tabId="2" name="Tabela dinâmica14"/>
  </pivotTables>
  <data>
    <tabular pivotCacheId="1821397517" showMissing="0">
      <items count="9">
        <i x="0" s="1"/>
        <i x="1" s="1"/>
        <i x="2" s="1"/>
        <i x="3" s="1"/>
        <i x="4" s="1"/>
        <i x="5" s="1"/>
        <i x="6" s="1"/>
        <i x="7" s="1"/>
        <i x="8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entrada" xr10:uid="{395E9F01-6801-474C-8E99-B83B1E9EFF21}" sourceName="Mês entrada">
  <pivotTables>
    <pivotTable tabId="2" name="Tabela dinâmica14"/>
  </pivotTables>
  <data>
    <tabular pivotCacheId="1821397517" showMissing="0">
      <items count="12">
        <i x="7" s="1"/>
        <i x="1" s="1"/>
        <i x="8" s="1"/>
        <i x="2" s="1"/>
        <i x="11" s="1"/>
        <i x="9" s="1"/>
        <i x="4" s="1"/>
        <i x="5" s="1"/>
        <i x="6" s="1"/>
        <i x="10" s="1"/>
        <i x="0" s="1"/>
        <i x="3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" xr10:uid="{54DD7907-C650-4D5A-A39D-F96F8CC2F50E}" sourceName="Ano">
  <pivotTables>
    <pivotTable tabId="4" name="Tabela dinâmica16"/>
  </pivotTables>
  <data>
    <tabular pivotCacheId="1969370110">
      <items count="6">
        <i x="0" s="1"/>
        <i x="1" s="1"/>
        <i x="2" s="1"/>
        <i x="3" s="1"/>
        <i x="4" s="1"/>
        <i x="5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saída" xr10:uid="{947DE634-B242-40D9-BFE5-CA19E500B626}" cache="SegmentaçãodeDados_Mês_saída" caption="Mês saída" style="SlicerStyleDark1 2" rowHeight="209550"/>
  <slicer name="Ano saída" xr10:uid="{E19B7B3F-0F0B-4D22-8BD3-0ED1D610E323}" cache="SegmentaçãodeDados_Ano_saída" caption="Ano saída" style="SlicerStyleDark1 2" rowHeight="209550"/>
  <slicer name="Ano entrada" xr10:uid="{DB737F8A-B881-4CCA-A512-AC5F931DCF18}" cache="SegmentaçãodeDados_Ano_entrada" caption="Ano entrada" style="SlicerStyleDark1 2" rowHeight="209550"/>
  <slicer name="Mês entrada" xr10:uid="{C1CF2FEF-7127-4595-9A26-76183F1D37D7}" cache="SegmentaçãodeDados_Mês_entrada" caption="Mês entrada" style="SlicerStyleDark1 2" rowHeight="2095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" xr10:uid="{354C13E8-DC34-4F76-8332-AABDC0D91C0D}" cache="SegmentaçãodeDados_Ano" caption="Ano" columnCount="6" style="SlicerStyleDark1 2" rowHeight="209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D732398-84C1-4913-BA0B-8D771F6A5C10}" name="Tabela1" displayName="Tabela1" ref="E5:N386" totalsRowShown="0" headerRowDxfId="283" dataDxfId="281" headerRowBorderDxfId="282" tableBorderDxfId="280" totalsRowBorderDxfId="279">
  <autoFilter ref="E5:N386" xr:uid="{3D732398-84C1-4913-BA0B-8D771F6A5C10}"/>
  <sortState xmlns:xlrd2="http://schemas.microsoft.com/office/spreadsheetml/2017/richdata2" ref="E6:J385">
    <sortCondition ref="G6:G385"/>
  </sortState>
  <tableColumns count="10">
    <tableColumn id="1" xr3:uid="{4D035FF1-7609-417D-967D-91594C9CB728}" name="Nome" dataDxfId="278"/>
    <tableColumn id="2" xr3:uid="{50529477-3C8A-4B91-A567-DFC7405C2B0D}" name="Data de Nascimento" dataDxfId="277"/>
    <tableColumn id="3" xr3:uid="{FD8032B0-494A-43DF-80E7-02E118EC43CA}" name="Data Admissão" dataDxfId="276"/>
    <tableColumn id="4" xr3:uid="{18951516-C4C4-4C9C-950B-C74D74881ED4}" name="Data de Saída" dataDxfId="275"/>
    <tableColumn id="5" xr3:uid="{02B7B768-48E9-4B50-8BDA-13A16830233C}" name="Mês saída" dataDxfId="274">
      <calculatedColumnFormula>IF(Tabela1[[#This Row],[Data de Saída]]="","",PROPER(TEXT(Tabela1[[#This Row],[Data de Saída]],"mmm")))</calculatedColumnFormula>
    </tableColumn>
    <tableColumn id="6" xr3:uid="{41BDB7EE-6C03-47B7-B304-C7FBD0F3E6A4}" name="Ano saída" dataDxfId="273">
      <calculatedColumnFormula>IF(Tabela1[[#This Row],[Data de Saída]]="","",PROPER(TEXT(Tabela1[[#This Row],[Data de Saída]],"aaaa")))</calculatedColumnFormula>
    </tableColumn>
    <tableColumn id="9" xr3:uid="{0C7F6D60-6BA2-470C-AA8B-F36AFABD750A}" name="Mês entrada" dataDxfId="272">
      <calculatedColumnFormula>IF(Tabela1[[#This Row],[Data Admissão]]="","",PROPER(TEXT(Tabela1[[#This Row],[Data Admissão]],"mmm")))</calculatedColumnFormula>
    </tableColumn>
    <tableColumn id="8" xr3:uid="{EDD40121-1564-4238-B9FC-CB5158A2EAB1}" name="Ano entrada" dataDxfId="271">
      <calculatedColumnFormula>IF(Tabela1[[#This Row],[Data Admissão]]="","",PROPER(TEXT(Tabela1[[#This Row],[Data Admissão]],"aaaa")))</calculatedColumnFormula>
    </tableColumn>
    <tableColumn id="7" xr3:uid="{A4394407-6FC2-4704-B5D7-BACC557494F2}" name="Setor" dataDxfId="270"/>
    <tableColumn id="10" xr3:uid="{15CC3AFA-A87E-4B0F-BE6E-D6191B8573D4}" name="Situação" dataDxfId="269">
      <calculatedColumnFormula>IFERROR(IF(Tabela1[[#This Row],[Data de Saída]]="","ATIVO","-"),"-")</calculatedColumnFormula>
    </tableColumn>
  </tableColumns>
  <tableStyleInfo name="TableStyleLight8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BAF94A5-76A2-4A3B-8B3D-67365547303E}" name="Tabela2" displayName="Tabela2" ref="E5:L77" totalsRowShown="0" headerRowDxfId="137" dataDxfId="135" headerRowBorderDxfId="136" tableBorderDxfId="134" totalsRowBorderDxfId="133">
  <tableColumns count="8">
    <tableColumn id="1" xr3:uid="{D846B7FF-648B-4437-AC3C-727BF80F7D05}" name="Ano" dataDxfId="132"/>
    <tableColumn id="2" xr3:uid="{B8D16608-9A98-4EC4-B86D-A733FDAACCD5}" name="Meses" dataDxfId="131"/>
    <tableColumn id="3" xr3:uid="{C4570C7B-1FE6-44FE-948E-60269F8CDA2F}" name="nº de funcionários" dataDxfId="130"/>
    <tableColumn id="4" xr3:uid="{EBF53C85-1EE5-4477-AD5C-565E6AA69E32}" name="nº de admissões" dataDxfId="129"/>
    <tableColumn id="5" xr3:uid="{F81E441B-D46B-42A3-9696-FBA72350F44A}" name="nº de demissões" dataDxfId="128"/>
    <tableColumn id="6" xr3:uid="{3E02D720-AE47-414F-85F5-BBB6CAA1711A}" name="nº de demissões voluntárias" dataDxfId="127"/>
    <tableColumn id="7" xr3:uid="{D10E9D64-F56E-4C6F-83C1-F37394F824CA}" name="%" dataDxfId="126"/>
    <tableColumn id="8" xr3:uid="{E9A51F7A-AE0E-40A5-892B-2FED20BF1CB1}" name="Turnover" dataDxfId="125" dataCellStyle="Porcentagem">
      <calculatedColumnFormula>IFERROR(IF(Tabela2[[#This Row],[Ano]]="","",(H6+I6)/2/G6),"-")</calculatedColumnFormula>
    </tableColumn>
  </tableColumns>
  <tableStyleInfo name="TableStyleLight8 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13" Type="http://schemas.openxmlformats.org/officeDocument/2006/relationships/ctrlProp" Target="../ctrlProps/ctrlProp21.xml"/><Relationship Id="rId18" Type="http://schemas.openxmlformats.org/officeDocument/2006/relationships/ctrlProp" Target="../ctrlProps/ctrlProp26.xml"/><Relationship Id="rId3" Type="http://schemas.openxmlformats.org/officeDocument/2006/relationships/pivotTable" Target="../pivotTables/pivotTable3.xml"/><Relationship Id="rId21" Type="http://schemas.microsoft.com/office/2007/relationships/slicer" Target="../slicers/slicer1.xml"/><Relationship Id="rId7" Type="http://schemas.openxmlformats.org/officeDocument/2006/relationships/ctrlProp" Target="../ctrlProps/ctrlProp15.xml"/><Relationship Id="rId12" Type="http://schemas.openxmlformats.org/officeDocument/2006/relationships/ctrlProp" Target="../ctrlProps/ctrlProp20.xml"/><Relationship Id="rId17" Type="http://schemas.openxmlformats.org/officeDocument/2006/relationships/ctrlProp" Target="../ctrlProps/ctrlProp25.xml"/><Relationship Id="rId2" Type="http://schemas.openxmlformats.org/officeDocument/2006/relationships/pivotTable" Target="../pivotTables/pivotTable2.xml"/><Relationship Id="rId16" Type="http://schemas.openxmlformats.org/officeDocument/2006/relationships/ctrlProp" Target="../ctrlProps/ctrlProp24.xml"/><Relationship Id="rId20" Type="http://schemas.openxmlformats.org/officeDocument/2006/relationships/ctrlProp" Target="../ctrlProps/ctrlProp28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2.vml"/><Relationship Id="rId11" Type="http://schemas.openxmlformats.org/officeDocument/2006/relationships/ctrlProp" Target="../ctrlProps/ctrlProp19.xml"/><Relationship Id="rId5" Type="http://schemas.openxmlformats.org/officeDocument/2006/relationships/drawing" Target="../drawings/drawing2.xml"/><Relationship Id="rId15" Type="http://schemas.openxmlformats.org/officeDocument/2006/relationships/ctrlProp" Target="../ctrlProps/ctrlProp23.xml"/><Relationship Id="rId10" Type="http://schemas.openxmlformats.org/officeDocument/2006/relationships/ctrlProp" Target="../ctrlProps/ctrlProp18.xml"/><Relationship Id="rId19" Type="http://schemas.openxmlformats.org/officeDocument/2006/relationships/ctrlProp" Target="../ctrlProps/ctrlProp27.xml"/><Relationship Id="rId4" Type="http://schemas.openxmlformats.org/officeDocument/2006/relationships/pivotTable" Target="../pivotTables/pivotTable4.xml"/><Relationship Id="rId9" Type="http://schemas.openxmlformats.org/officeDocument/2006/relationships/ctrlProp" Target="../ctrlProps/ctrlProp17.xml"/><Relationship Id="rId14" Type="http://schemas.openxmlformats.org/officeDocument/2006/relationships/ctrlProp" Target="../ctrlProps/ctrlProp2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13" Type="http://schemas.openxmlformats.org/officeDocument/2006/relationships/ctrlProp" Target="../ctrlProps/ctrlProp39.xml"/><Relationship Id="rId3" Type="http://schemas.openxmlformats.org/officeDocument/2006/relationships/ctrlProp" Target="../ctrlProps/ctrlProp29.xml"/><Relationship Id="rId7" Type="http://schemas.openxmlformats.org/officeDocument/2006/relationships/ctrlProp" Target="../ctrlProps/ctrlProp33.xml"/><Relationship Id="rId12" Type="http://schemas.openxmlformats.org/officeDocument/2006/relationships/ctrlProp" Target="../ctrlProps/ctrlProp38.xml"/><Relationship Id="rId17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42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32.xml"/><Relationship Id="rId11" Type="http://schemas.openxmlformats.org/officeDocument/2006/relationships/ctrlProp" Target="../ctrlProps/ctrlProp37.xml"/><Relationship Id="rId5" Type="http://schemas.openxmlformats.org/officeDocument/2006/relationships/ctrlProp" Target="../ctrlProps/ctrlProp31.xml"/><Relationship Id="rId15" Type="http://schemas.openxmlformats.org/officeDocument/2006/relationships/ctrlProp" Target="../ctrlProps/ctrlProp41.xml"/><Relationship Id="rId10" Type="http://schemas.openxmlformats.org/officeDocument/2006/relationships/ctrlProp" Target="../ctrlProps/ctrlProp36.xml"/><Relationship Id="rId4" Type="http://schemas.openxmlformats.org/officeDocument/2006/relationships/ctrlProp" Target="../ctrlProps/ctrlProp30.xml"/><Relationship Id="rId9" Type="http://schemas.openxmlformats.org/officeDocument/2006/relationships/ctrlProp" Target="../ctrlProps/ctrlProp35.xml"/><Relationship Id="rId14" Type="http://schemas.openxmlformats.org/officeDocument/2006/relationships/ctrlProp" Target="../ctrlProps/ctrlProp4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13" Type="http://schemas.openxmlformats.org/officeDocument/2006/relationships/ctrlProp" Target="../ctrlProps/ctrlProp52.xml"/><Relationship Id="rId18" Type="http://schemas.microsoft.com/office/2007/relationships/slicer" Target="../slicers/slicer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6.xml"/><Relationship Id="rId12" Type="http://schemas.openxmlformats.org/officeDocument/2006/relationships/ctrlProp" Target="../ctrlProps/ctrlProp51.xml"/><Relationship Id="rId17" Type="http://schemas.openxmlformats.org/officeDocument/2006/relationships/ctrlProp" Target="../ctrlProps/ctrlProp56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5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5.xml"/><Relationship Id="rId11" Type="http://schemas.openxmlformats.org/officeDocument/2006/relationships/ctrlProp" Target="../ctrlProps/ctrlProp50.xml"/><Relationship Id="rId5" Type="http://schemas.openxmlformats.org/officeDocument/2006/relationships/ctrlProp" Target="../ctrlProps/ctrlProp44.xml"/><Relationship Id="rId15" Type="http://schemas.openxmlformats.org/officeDocument/2006/relationships/ctrlProp" Target="../ctrlProps/ctrlProp54.xml"/><Relationship Id="rId10" Type="http://schemas.openxmlformats.org/officeDocument/2006/relationships/ctrlProp" Target="../ctrlProps/ctrlProp49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Relationship Id="rId14" Type="http://schemas.openxmlformats.org/officeDocument/2006/relationships/ctrlProp" Target="../ctrlProps/ctrlProp5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XEV386"/>
  <sheetViews>
    <sheetView showGridLines="0" showRowColHeaders="0" topLeftCell="B1" workbookViewId="0"/>
  </sheetViews>
  <sheetFormatPr defaultColWidth="9.140625" defaultRowHeight="24.95" customHeight="1" x14ac:dyDescent="0.2"/>
  <cols>
    <col min="1" max="1" width="0" style="17" hidden="1" customWidth="1"/>
    <col min="2" max="2" width="1.42578125" style="34" customWidth="1"/>
    <col min="3" max="3" width="45.42578125" style="35" hidden="1" customWidth="1"/>
    <col min="4" max="4" width="7.42578125" style="17" hidden="1" customWidth="1"/>
    <col min="5" max="5" width="33.5703125" style="17" customWidth="1"/>
    <col min="6" max="6" width="21.28515625" style="17" customWidth="1"/>
    <col min="7" max="12" width="21.28515625" style="19" customWidth="1"/>
    <col min="13" max="13" width="26" style="19" customWidth="1"/>
    <col min="14" max="14" width="22.7109375" style="17" customWidth="1"/>
    <col min="15" max="15" width="9.140625" style="17"/>
    <col min="16" max="16" width="10.7109375" style="17" bestFit="1" customWidth="1"/>
    <col min="17" max="21" width="9.140625" style="17"/>
    <col min="22" max="23" width="11.28515625" style="17" customWidth="1"/>
    <col min="24" max="249" width="9.140625" style="17"/>
    <col min="250" max="16376" width="9.140625" style="18"/>
    <col min="16377" max="16384" width="9.140625" style="17"/>
  </cols>
  <sheetData>
    <row r="1" spans="2:16376" s="36" customFormat="1" ht="55.5" customHeight="1" x14ac:dyDescent="0.25">
      <c r="L1" s="37"/>
      <c r="M1" s="37"/>
      <c r="P1" s="37"/>
      <c r="Q1" s="38"/>
      <c r="R1" s="38"/>
      <c r="S1" s="37"/>
      <c r="T1" s="37"/>
      <c r="U1" s="37"/>
      <c r="V1" s="38"/>
      <c r="W1" s="38"/>
      <c r="X1" s="37"/>
      <c r="Y1" s="38"/>
      <c r="Z1" s="38"/>
      <c r="AA1" s="38"/>
      <c r="AB1" s="38"/>
      <c r="AC1" s="38"/>
    </row>
    <row r="2" spans="2:16376" s="39" customFormat="1" ht="10.5" customHeight="1" x14ac:dyDescent="0.25">
      <c r="L2" s="40"/>
      <c r="M2" s="40"/>
      <c r="P2" s="40"/>
      <c r="Q2" s="41"/>
      <c r="R2" s="41"/>
      <c r="S2" s="40"/>
      <c r="T2" s="40"/>
      <c r="U2" s="40"/>
      <c r="V2" s="41"/>
      <c r="W2" s="41"/>
      <c r="X2" s="40"/>
      <c r="Y2" s="41"/>
      <c r="Z2" s="41"/>
      <c r="AA2" s="41"/>
      <c r="AB2" s="41"/>
      <c r="AC2" s="41"/>
    </row>
    <row r="3" spans="2:16376" s="2" customFormat="1" ht="25.5" hidden="1" customHeight="1" x14ac:dyDescent="0.2">
      <c r="B3" s="32"/>
      <c r="C3" s="33"/>
      <c r="E3" s="1"/>
      <c r="G3" s="4"/>
      <c r="H3" s="5"/>
      <c r="I3" s="5"/>
      <c r="J3" s="5"/>
      <c r="K3" s="5"/>
      <c r="L3" s="5"/>
      <c r="M3" s="5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  <c r="XEM3"/>
      <c r="XEN3"/>
      <c r="XEO3"/>
      <c r="XEP3"/>
      <c r="XEQ3"/>
      <c r="XER3"/>
      <c r="XES3"/>
      <c r="XET3"/>
      <c r="XEU3"/>
      <c r="XEV3"/>
    </row>
    <row r="4" spans="2:16376" s="2" customFormat="1" ht="12.75" customHeight="1" x14ac:dyDescent="0.2">
      <c r="B4" s="32"/>
      <c r="C4" s="33"/>
      <c r="G4" s="5"/>
      <c r="H4" s="5"/>
      <c r="I4" s="5"/>
      <c r="J4" s="5"/>
      <c r="K4" s="5"/>
      <c r="L4" s="5"/>
      <c r="M4" s="5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  <c r="XEM4"/>
      <c r="XEN4"/>
      <c r="XEO4"/>
      <c r="XEP4"/>
      <c r="XEQ4"/>
      <c r="XER4"/>
      <c r="XES4"/>
      <c r="XET4"/>
      <c r="XEU4"/>
      <c r="XEV4"/>
    </row>
    <row r="5" spans="2:16376" ht="24.95" customHeight="1" x14ac:dyDescent="0.2">
      <c r="E5" s="42" t="s">
        <v>0</v>
      </c>
      <c r="F5" s="43" t="s">
        <v>1</v>
      </c>
      <c r="G5" s="42" t="s">
        <v>2</v>
      </c>
      <c r="H5" s="43" t="s">
        <v>3</v>
      </c>
      <c r="I5" s="43" t="s">
        <v>183</v>
      </c>
      <c r="J5" s="43" t="s">
        <v>184</v>
      </c>
      <c r="K5" s="43" t="s">
        <v>185</v>
      </c>
      <c r="L5" s="43" t="s">
        <v>186</v>
      </c>
      <c r="M5" s="43" t="s">
        <v>592</v>
      </c>
      <c r="N5" s="44" t="s">
        <v>593</v>
      </c>
    </row>
    <row r="6" spans="2:16376" ht="24.95" customHeight="1" x14ac:dyDescent="0.2">
      <c r="E6" s="26" t="s">
        <v>212</v>
      </c>
      <c r="F6" s="20">
        <v>27308</v>
      </c>
      <c r="G6" s="20">
        <v>41214</v>
      </c>
      <c r="H6" s="12" t="s">
        <v>121</v>
      </c>
      <c r="I6" s="21" t="str">
        <f>IF(Tabela1[[#This Row],[Data de Saída]]="","",PROPER(TEXT(Tabela1[[#This Row],[Data de Saída]],"mmm")))</f>
        <v>Abr</v>
      </c>
      <c r="J6" s="21" t="str">
        <f>IF(Tabela1[[#This Row],[Data de Saída]]="","",PROPER(TEXT(Tabela1[[#This Row],[Data de Saída]],"aaaa")))</f>
        <v>2014</v>
      </c>
      <c r="K6" s="27" t="str">
        <f>IF(Tabela1[[#This Row],[Data Admissão]]="","",PROPER(TEXT(Tabela1[[#This Row],[Data Admissão]],"mmm")))</f>
        <v>Nov</v>
      </c>
      <c r="L6" s="21" t="str">
        <f>IF(Tabela1[[#This Row],[Data Admissão]]="","",PROPER(TEXT(Tabela1[[#This Row],[Data Admissão]],"aaaa")))</f>
        <v>2012</v>
      </c>
      <c r="M6" s="12" t="s">
        <v>594</v>
      </c>
      <c r="N6" s="22" t="str">
        <f>IFERROR(IF(Tabela1[[#This Row],[Data de Saída]]="","ATIVO","-"),"-")</f>
        <v>-</v>
      </c>
    </row>
    <row r="7" spans="2:16376" ht="24.95" customHeight="1" x14ac:dyDescent="0.2">
      <c r="E7" s="26" t="s">
        <v>213</v>
      </c>
      <c r="F7" s="20">
        <v>26152</v>
      </c>
      <c r="G7" s="20">
        <v>41313</v>
      </c>
      <c r="H7" s="12" t="s">
        <v>56</v>
      </c>
      <c r="I7" s="21" t="str">
        <f>IF(Tabela1[[#This Row],[Data de Saída]]="","",PROPER(TEXT(Tabela1[[#This Row],[Data de Saída]],"mmm")))</f>
        <v>Mar</v>
      </c>
      <c r="J7" s="21" t="str">
        <f>IF(Tabela1[[#This Row],[Data de Saída]]="","",PROPER(TEXT(Tabela1[[#This Row],[Data de Saída]],"aaaa")))</f>
        <v>2014</v>
      </c>
      <c r="K7" s="27" t="str">
        <f>IF(Tabela1[[#This Row],[Data Admissão]]="","",PROPER(TEXT(Tabela1[[#This Row],[Data Admissão]],"mmm")))</f>
        <v>Fev</v>
      </c>
      <c r="L7" s="21" t="str">
        <f>IF(Tabela1[[#This Row],[Data Admissão]]="","",PROPER(TEXT(Tabela1[[#This Row],[Data Admissão]],"aaaa")))</f>
        <v>2013</v>
      </c>
      <c r="M7" s="12" t="s">
        <v>595</v>
      </c>
      <c r="N7" s="22" t="str">
        <f>IFERROR(IF(Tabela1[[#This Row],[Data de Saída]]="","ATIVO","-"),"-")</f>
        <v>-</v>
      </c>
    </row>
    <row r="8" spans="2:16376" ht="24.95" customHeight="1" x14ac:dyDescent="0.2">
      <c r="E8" s="26" t="s">
        <v>214</v>
      </c>
      <c r="F8" s="20">
        <v>30972</v>
      </c>
      <c r="G8" s="20">
        <v>41579</v>
      </c>
      <c r="H8" s="12" t="s">
        <v>136</v>
      </c>
      <c r="I8" s="21" t="str">
        <f>IF(Tabela1[[#This Row],[Data de Saída]]="","",PROPER(TEXT(Tabela1[[#This Row],[Data de Saída]],"mmm")))</f>
        <v>Set</v>
      </c>
      <c r="J8" s="21" t="str">
        <f>IF(Tabela1[[#This Row],[Data de Saída]]="","",PROPER(TEXT(Tabela1[[#This Row],[Data de Saída]],"aaaa")))</f>
        <v>2015</v>
      </c>
      <c r="K8" s="27" t="str">
        <f>IF(Tabela1[[#This Row],[Data Admissão]]="","",PROPER(TEXT(Tabela1[[#This Row],[Data Admissão]],"mmm")))</f>
        <v>Nov</v>
      </c>
      <c r="L8" s="21" t="str">
        <f>IF(Tabela1[[#This Row],[Data Admissão]]="","",PROPER(TEXT(Tabela1[[#This Row],[Data Admissão]],"aaaa")))</f>
        <v>2013</v>
      </c>
      <c r="M8" s="12" t="s">
        <v>596</v>
      </c>
      <c r="N8" s="22" t="str">
        <f>IFERROR(IF(Tabela1[[#This Row],[Data de Saída]]="","ATIVO","-"),"-")</f>
        <v>-</v>
      </c>
    </row>
    <row r="9" spans="2:16376" ht="24.95" customHeight="1" x14ac:dyDescent="0.2">
      <c r="E9" s="26" t="s">
        <v>215</v>
      </c>
      <c r="F9" s="20">
        <v>25399</v>
      </c>
      <c r="G9" s="20">
        <v>42038</v>
      </c>
      <c r="H9" s="12" t="s">
        <v>159</v>
      </c>
      <c r="I9" s="21" t="str">
        <f>IF(Tabela1[[#This Row],[Data de Saída]]="","",PROPER(TEXT(Tabela1[[#This Row],[Data de Saída]],"mmm")))</f>
        <v>Nov</v>
      </c>
      <c r="J9" s="21" t="str">
        <f>IF(Tabela1[[#This Row],[Data de Saída]]="","",PROPER(TEXT(Tabela1[[#This Row],[Data de Saída]],"aaaa")))</f>
        <v>2015</v>
      </c>
      <c r="K9" s="27" t="str">
        <f>IF(Tabela1[[#This Row],[Data Admissão]]="","",PROPER(TEXT(Tabela1[[#This Row],[Data Admissão]],"mmm")))</f>
        <v>Fev</v>
      </c>
      <c r="L9" s="21" t="str">
        <f>IF(Tabela1[[#This Row],[Data Admissão]]="","",PROPER(TEXT(Tabela1[[#This Row],[Data Admissão]],"aaaa")))</f>
        <v>2015</v>
      </c>
      <c r="M9" s="12" t="s">
        <v>597</v>
      </c>
      <c r="N9" s="22" t="str">
        <f>IFERROR(IF(Tabela1[[#This Row],[Data de Saída]]="","ATIVO","-"),"-")</f>
        <v>-</v>
      </c>
    </row>
    <row r="10" spans="2:16376" ht="24.95" customHeight="1" x14ac:dyDescent="0.2">
      <c r="E10" s="26" t="s">
        <v>216</v>
      </c>
      <c r="F10" s="20">
        <v>33872</v>
      </c>
      <c r="G10" s="20">
        <v>42095</v>
      </c>
      <c r="H10" s="12" t="s">
        <v>141</v>
      </c>
      <c r="I10" s="21" t="str">
        <f>IF(Tabela1[[#This Row],[Data de Saída]]="","",PROPER(TEXT(Tabela1[[#This Row],[Data de Saída]],"mmm")))</f>
        <v>Fev</v>
      </c>
      <c r="J10" s="21" t="str">
        <f>IF(Tabela1[[#This Row],[Data de Saída]]="","",PROPER(TEXT(Tabela1[[#This Row],[Data de Saída]],"aaaa")))</f>
        <v>2016</v>
      </c>
      <c r="K10" s="27" t="str">
        <f>IF(Tabela1[[#This Row],[Data Admissão]]="","",PROPER(TEXT(Tabela1[[#This Row],[Data Admissão]],"mmm")))</f>
        <v>Abr</v>
      </c>
      <c r="L10" s="21" t="str">
        <f>IF(Tabela1[[#This Row],[Data Admissão]]="","",PROPER(TEXT(Tabela1[[#This Row],[Data Admissão]],"aaaa")))</f>
        <v>2015</v>
      </c>
      <c r="M10" s="12" t="s">
        <v>598</v>
      </c>
      <c r="N10" s="22" t="str">
        <f>IFERROR(IF(Tabela1[[#This Row],[Data de Saída]]="","ATIVO","-"),"-")</f>
        <v>-</v>
      </c>
    </row>
    <row r="11" spans="2:16376" ht="24.95" customHeight="1" x14ac:dyDescent="0.2">
      <c r="E11" s="26" t="s">
        <v>217</v>
      </c>
      <c r="F11" s="20">
        <v>25271</v>
      </c>
      <c r="G11" s="20">
        <v>42339</v>
      </c>
      <c r="H11" s="12" t="s">
        <v>125</v>
      </c>
      <c r="I11" s="21" t="str">
        <f>IF(Tabela1[[#This Row],[Data de Saída]]="","",PROPER(TEXT(Tabela1[[#This Row],[Data de Saída]],"mmm")))</f>
        <v>Ago</v>
      </c>
      <c r="J11" s="21" t="str">
        <f>IF(Tabela1[[#This Row],[Data de Saída]]="","",PROPER(TEXT(Tabela1[[#This Row],[Data de Saída]],"aaaa")))</f>
        <v>2016</v>
      </c>
      <c r="K11" s="27" t="str">
        <f>IF(Tabela1[[#This Row],[Data Admissão]]="","",PROPER(TEXT(Tabela1[[#This Row],[Data Admissão]],"mmm")))</f>
        <v>Dez</v>
      </c>
      <c r="L11" s="21" t="str">
        <f>IF(Tabela1[[#This Row],[Data Admissão]]="","",PROPER(TEXT(Tabela1[[#This Row],[Data Admissão]],"aaaa")))</f>
        <v>2015</v>
      </c>
      <c r="M11" s="12" t="s">
        <v>599</v>
      </c>
      <c r="N11" s="22" t="str">
        <f>IFERROR(IF(Tabela1[[#This Row],[Data de Saída]]="","ATIVO","-"),"-")</f>
        <v>-</v>
      </c>
    </row>
    <row r="12" spans="2:16376" ht="24.95" customHeight="1" x14ac:dyDescent="0.2">
      <c r="E12" s="26" t="s">
        <v>218</v>
      </c>
      <c r="F12" s="20">
        <v>35258</v>
      </c>
      <c r="G12" s="20">
        <v>43556</v>
      </c>
      <c r="H12" s="12"/>
      <c r="I12" s="21" t="str">
        <f>IF(Tabela1[[#This Row],[Data de Saída]]="","",PROPER(TEXT(Tabela1[[#This Row],[Data de Saída]],"mmm")))</f>
        <v/>
      </c>
      <c r="J12" s="21" t="str">
        <f>IF(Tabela1[[#This Row],[Data de Saída]]="","",PROPER(TEXT(Tabela1[[#This Row],[Data de Saída]],"aaaa")))</f>
        <v/>
      </c>
      <c r="K12" s="27" t="str">
        <f>IF(Tabela1[[#This Row],[Data Admissão]]="","",PROPER(TEXT(Tabela1[[#This Row],[Data Admissão]],"mmm")))</f>
        <v>Abr</v>
      </c>
      <c r="L12" s="21" t="str">
        <f>IF(Tabela1[[#This Row],[Data Admissão]]="","",PROPER(TEXT(Tabela1[[#This Row],[Data Admissão]],"aaaa")))</f>
        <v>2019</v>
      </c>
      <c r="M12" s="12" t="s">
        <v>599</v>
      </c>
      <c r="N12" s="22" t="str">
        <f>IFERROR(IF(Tabela1[[#This Row],[Data de Saída]]="","ATIVO","-"),"-")</f>
        <v>ATIVO</v>
      </c>
    </row>
    <row r="13" spans="2:16376" ht="24.95" customHeight="1" x14ac:dyDescent="0.2">
      <c r="E13" s="26" t="s">
        <v>219</v>
      </c>
      <c r="F13" s="20">
        <v>32612</v>
      </c>
      <c r="G13" s="20">
        <v>43556</v>
      </c>
      <c r="H13" s="12"/>
      <c r="I13" s="21" t="str">
        <f>IF(Tabela1[[#This Row],[Data de Saída]]="","",PROPER(TEXT(Tabela1[[#This Row],[Data de Saída]],"mmm")))</f>
        <v/>
      </c>
      <c r="J13" s="21" t="str">
        <f>IF(Tabela1[[#This Row],[Data de Saída]]="","",PROPER(TEXT(Tabela1[[#This Row],[Data de Saída]],"aaaa")))</f>
        <v/>
      </c>
      <c r="K13" s="27" t="str">
        <f>IF(Tabela1[[#This Row],[Data Admissão]]="","",PROPER(TEXT(Tabela1[[#This Row],[Data Admissão]],"mmm")))</f>
        <v>Abr</v>
      </c>
      <c r="L13" s="21" t="str">
        <f>IF(Tabela1[[#This Row],[Data Admissão]]="","",PROPER(TEXT(Tabela1[[#This Row],[Data Admissão]],"aaaa")))</f>
        <v>2019</v>
      </c>
      <c r="M13" s="12" t="s">
        <v>599</v>
      </c>
      <c r="N13" s="22" t="str">
        <f>IFERROR(IF(Tabela1[[#This Row],[Data de Saída]]="","ATIVO","-"),"-")</f>
        <v>ATIVO</v>
      </c>
    </row>
    <row r="14" spans="2:16376" ht="24.95" customHeight="1" x14ac:dyDescent="0.2">
      <c r="E14" s="26" t="s">
        <v>220</v>
      </c>
      <c r="F14" s="20">
        <v>36684</v>
      </c>
      <c r="G14" s="20">
        <v>43556</v>
      </c>
      <c r="H14" s="12" t="s">
        <v>60</v>
      </c>
      <c r="I14" s="21" t="str">
        <f>IF(Tabela1[[#This Row],[Data de Saída]]="","",PROPER(TEXT(Tabela1[[#This Row],[Data de Saída]],"mmm")))</f>
        <v>Mai</v>
      </c>
      <c r="J14" s="21" t="str">
        <f>IF(Tabela1[[#This Row],[Data de Saída]]="","",PROPER(TEXT(Tabela1[[#This Row],[Data de Saída]],"aaaa")))</f>
        <v>2022</v>
      </c>
      <c r="K14" s="27" t="str">
        <f>IF(Tabela1[[#This Row],[Data Admissão]]="","",PROPER(TEXT(Tabela1[[#This Row],[Data Admissão]],"mmm")))</f>
        <v>Abr</v>
      </c>
      <c r="L14" s="21" t="str">
        <f>IF(Tabela1[[#This Row],[Data Admissão]]="","",PROPER(TEXT(Tabela1[[#This Row],[Data Admissão]],"aaaa")))</f>
        <v>2019</v>
      </c>
      <c r="M14" s="12" t="s">
        <v>599</v>
      </c>
      <c r="N14" s="22" t="str">
        <f>IFERROR(IF(Tabela1[[#This Row],[Data de Saída]]="","ATIVO","-"),"-")</f>
        <v>-</v>
      </c>
    </row>
    <row r="15" spans="2:16376" ht="24.95" customHeight="1" x14ac:dyDescent="0.2">
      <c r="E15" s="26" t="s">
        <v>221</v>
      </c>
      <c r="F15" s="20">
        <v>35591</v>
      </c>
      <c r="G15" s="20">
        <v>43556</v>
      </c>
      <c r="H15" s="12" t="s">
        <v>104</v>
      </c>
      <c r="I15" s="21" t="str">
        <f>IF(Tabela1[[#This Row],[Data de Saída]]="","",PROPER(TEXT(Tabela1[[#This Row],[Data de Saída]],"mmm")))</f>
        <v>Jul</v>
      </c>
      <c r="J15" s="21" t="str">
        <f>IF(Tabela1[[#This Row],[Data de Saída]]="","",PROPER(TEXT(Tabela1[[#This Row],[Data de Saída]],"aaaa")))</f>
        <v>2021</v>
      </c>
      <c r="K15" s="27" t="str">
        <f>IF(Tabela1[[#This Row],[Data Admissão]]="","",PROPER(TEXT(Tabela1[[#This Row],[Data Admissão]],"mmm")))</f>
        <v>Abr</v>
      </c>
      <c r="L15" s="21" t="str">
        <f>IF(Tabela1[[#This Row],[Data Admissão]]="","",PROPER(TEXT(Tabela1[[#This Row],[Data Admissão]],"aaaa")))</f>
        <v>2019</v>
      </c>
      <c r="M15" s="12" t="s">
        <v>600</v>
      </c>
      <c r="N15" s="22" t="str">
        <f>IFERROR(IF(Tabela1[[#This Row],[Data de Saída]]="","ATIVO","-"),"-")</f>
        <v>-</v>
      </c>
    </row>
    <row r="16" spans="2:16376" ht="24.95" customHeight="1" x14ac:dyDescent="0.2">
      <c r="E16" s="26" t="s">
        <v>222</v>
      </c>
      <c r="F16" s="20">
        <v>35924</v>
      </c>
      <c r="G16" s="20">
        <v>43556</v>
      </c>
      <c r="H16" s="12" t="s">
        <v>41</v>
      </c>
      <c r="I16" s="21" t="str">
        <f>IF(Tabela1[[#This Row],[Data de Saída]]="","",PROPER(TEXT(Tabela1[[#This Row],[Data de Saída]],"mmm")))</f>
        <v>Jan</v>
      </c>
      <c r="J16" s="21" t="str">
        <f>IF(Tabela1[[#This Row],[Data de Saída]]="","",PROPER(TEXT(Tabela1[[#This Row],[Data de Saída]],"aaaa")))</f>
        <v>2021</v>
      </c>
      <c r="K16" s="27" t="str">
        <f>IF(Tabela1[[#This Row],[Data Admissão]]="","",PROPER(TEXT(Tabela1[[#This Row],[Data Admissão]],"mmm")))</f>
        <v>Abr</v>
      </c>
      <c r="L16" s="21" t="str">
        <f>IF(Tabela1[[#This Row],[Data Admissão]]="","",PROPER(TEXT(Tabela1[[#This Row],[Data Admissão]],"aaaa")))</f>
        <v>2019</v>
      </c>
      <c r="M16" s="12" t="s">
        <v>601</v>
      </c>
      <c r="N16" s="22" t="str">
        <f>IFERROR(IF(Tabela1[[#This Row],[Data de Saída]]="","ATIVO","-"),"-")</f>
        <v>-</v>
      </c>
    </row>
    <row r="17" spans="5:14" ht="24.95" customHeight="1" x14ac:dyDescent="0.2">
      <c r="E17" s="26" t="s">
        <v>223</v>
      </c>
      <c r="F17" s="20">
        <v>35308</v>
      </c>
      <c r="G17" s="20">
        <v>43556</v>
      </c>
      <c r="H17" s="12" t="s">
        <v>55</v>
      </c>
      <c r="I17" s="21" t="str">
        <f>IF(Tabela1[[#This Row],[Data de Saída]]="","",PROPER(TEXT(Tabela1[[#This Row],[Data de Saída]],"mmm")))</f>
        <v>Set</v>
      </c>
      <c r="J17" s="21" t="str">
        <f>IF(Tabela1[[#This Row],[Data de Saída]]="","",PROPER(TEXT(Tabela1[[#This Row],[Data de Saída]],"aaaa")))</f>
        <v>2020</v>
      </c>
      <c r="K17" s="27" t="str">
        <f>IF(Tabela1[[#This Row],[Data Admissão]]="","",PROPER(TEXT(Tabela1[[#This Row],[Data Admissão]],"mmm")))</f>
        <v>Abr</v>
      </c>
      <c r="L17" s="21" t="str">
        <f>IF(Tabela1[[#This Row],[Data Admissão]]="","",PROPER(TEXT(Tabela1[[#This Row],[Data Admissão]],"aaaa")))</f>
        <v>2019</v>
      </c>
      <c r="M17" s="12" t="s">
        <v>602</v>
      </c>
      <c r="N17" s="22" t="str">
        <f>IFERROR(IF(Tabela1[[#This Row],[Data de Saída]]="","ATIVO","-"),"-")</f>
        <v>-</v>
      </c>
    </row>
    <row r="18" spans="5:14" ht="24.95" customHeight="1" x14ac:dyDescent="0.2">
      <c r="E18" s="26" t="s">
        <v>224</v>
      </c>
      <c r="F18" s="20">
        <v>35635</v>
      </c>
      <c r="G18" s="20">
        <v>43556</v>
      </c>
      <c r="H18" s="12"/>
      <c r="I18" s="21" t="str">
        <f>IF(Tabela1[[#This Row],[Data de Saída]]="","",PROPER(TEXT(Tabela1[[#This Row],[Data de Saída]],"mmm")))</f>
        <v/>
      </c>
      <c r="J18" s="21" t="str">
        <f>IF(Tabela1[[#This Row],[Data de Saída]]="","",PROPER(TEXT(Tabela1[[#This Row],[Data de Saída]],"aaaa")))</f>
        <v/>
      </c>
      <c r="K18" s="27" t="str">
        <f>IF(Tabela1[[#This Row],[Data Admissão]]="","",PROPER(TEXT(Tabela1[[#This Row],[Data Admissão]],"mmm")))</f>
        <v>Abr</v>
      </c>
      <c r="L18" s="21" t="str">
        <f>IF(Tabela1[[#This Row],[Data Admissão]]="","",PROPER(TEXT(Tabela1[[#This Row],[Data Admissão]],"aaaa")))</f>
        <v>2019</v>
      </c>
      <c r="M18" s="12" t="s">
        <v>594</v>
      </c>
      <c r="N18" s="22" t="str">
        <f>IFERROR(IF(Tabela1[[#This Row],[Data de Saída]]="","ATIVO","-"),"-")</f>
        <v>ATIVO</v>
      </c>
    </row>
    <row r="19" spans="5:14" ht="24.95" customHeight="1" x14ac:dyDescent="0.2">
      <c r="E19" s="26" t="s">
        <v>225</v>
      </c>
      <c r="F19" s="20">
        <v>35652</v>
      </c>
      <c r="G19" s="20">
        <v>43556</v>
      </c>
      <c r="H19" s="12" t="s">
        <v>135</v>
      </c>
      <c r="I19" s="21" t="str">
        <f>IF(Tabela1[[#This Row],[Data de Saída]]="","",PROPER(TEXT(Tabela1[[#This Row],[Data de Saída]],"mmm")))</f>
        <v>Mai</v>
      </c>
      <c r="J19" s="21" t="str">
        <f>IF(Tabela1[[#This Row],[Data de Saída]]="","",PROPER(TEXT(Tabela1[[#This Row],[Data de Saída]],"aaaa")))</f>
        <v>2020</v>
      </c>
      <c r="K19" s="27" t="str">
        <f>IF(Tabela1[[#This Row],[Data Admissão]]="","",PROPER(TEXT(Tabela1[[#This Row],[Data Admissão]],"mmm")))</f>
        <v>Abr</v>
      </c>
      <c r="L19" s="21" t="str">
        <f>IF(Tabela1[[#This Row],[Data Admissão]]="","",PROPER(TEXT(Tabela1[[#This Row],[Data Admissão]],"aaaa")))</f>
        <v>2019</v>
      </c>
      <c r="M19" s="12" t="s">
        <v>594</v>
      </c>
      <c r="N19" s="22" t="str">
        <f>IFERROR(IF(Tabela1[[#This Row],[Data de Saída]]="","ATIVO","-"),"-")</f>
        <v>-</v>
      </c>
    </row>
    <row r="20" spans="5:14" ht="24.95" customHeight="1" x14ac:dyDescent="0.2">
      <c r="E20" s="26" t="s">
        <v>226</v>
      </c>
      <c r="F20" s="20">
        <v>32759</v>
      </c>
      <c r="G20" s="20">
        <v>43556</v>
      </c>
      <c r="H20" s="12" t="s">
        <v>142</v>
      </c>
      <c r="I20" s="21" t="str">
        <f>IF(Tabela1[[#This Row],[Data de Saída]]="","",PROPER(TEXT(Tabela1[[#This Row],[Data de Saída]],"mmm")))</f>
        <v>Set</v>
      </c>
      <c r="J20" s="21" t="str">
        <f>IF(Tabela1[[#This Row],[Data de Saída]]="","",PROPER(TEXT(Tabela1[[#This Row],[Data de Saída]],"aaaa")))</f>
        <v>2021</v>
      </c>
      <c r="K20" s="27" t="str">
        <f>IF(Tabela1[[#This Row],[Data Admissão]]="","",PROPER(TEXT(Tabela1[[#This Row],[Data Admissão]],"mmm")))</f>
        <v>Abr</v>
      </c>
      <c r="L20" s="21" t="str">
        <f>IF(Tabela1[[#This Row],[Data Admissão]]="","",PROPER(TEXT(Tabela1[[#This Row],[Data Admissão]],"aaaa")))</f>
        <v>2019</v>
      </c>
      <c r="M20" s="12" t="s">
        <v>595</v>
      </c>
      <c r="N20" s="22" t="str">
        <f>IFERROR(IF(Tabela1[[#This Row],[Data de Saída]]="","ATIVO","-"),"-")</f>
        <v>-</v>
      </c>
    </row>
    <row r="21" spans="5:14" ht="24.95" customHeight="1" x14ac:dyDescent="0.2">
      <c r="E21" s="26" t="s">
        <v>227</v>
      </c>
      <c r="F21" s="20">
        <v>29073</v>
      </c>
      <c r="G21" s="20">
        <v>43647</v>
      </c>
      <c r="H21" s="12" t="s">
        <v>39</v>
      </c>
      <c r="I21" s="21" t="str">
        <f>IF(Tabela1[[#This Row],[Data de Saída]]="","",PROPER(TEXT(Tabela1[[#This Row],[Data de Saída]],"mmm")))</f>
        <v>Out</v>
      </c>
      <c r="J21" s="21" t="str">
        <f>IF(Tabela1[[#This Row],[Data de Saída]]="","",PROPER(TEXT(Tabela1[[#This Row],[Data de Saída]],"aaaa")))</f>
        <v>2020</v>
      </c>
      <c r="K21" s="27" t="str">
        <f>IF(Tabela1[[#This Row],[Data Admissão]]="","",PROPER(TEXT(Tabela1[[#This Row],[Data Admissão]],"mmm")))</f>
        <v>Jul</v>
      </c>
      <c r="L21" s="21" t="str">
        <f>IF(Tabela1[[#This Row],[Data Admissão]]="","",PROPER(TEXT(Tabela1[[#This Row],[Data Admissão]],"aaaa")))</f>
        <v>2019</v>
      </c>
      <c r="M21" s="12" t="s">
        <v>596</v>
      </c>
      <c r="N21" s="22" t="str">
        <f>IFERROR(IF(Tabela1[[#This Row],[Data de Saída]]="","ATIVO","-"),"-")</f>
        <v>-</v>
      </c>
    </row>
    <row r="22" spans="5:14" ht="24.95" customHeight="1" x14ac:dyDescent="0.2">
      <c r="E22" s="26" t="s">
        <v>228</v>
      </c>
      <c r="F22" s="20">
        <v>33379</v>
      </c>
      <c r="G22" s="20">
        <v>43647</v>
      </c>
      <c r="H22" s="12" t="s">
        <v>45</v>
      </c>
      <c r="I22" s="21" t="str">
        <f>IF(Tabela1[[#This Row],[Data de Saída]]="","",PROPER(TEXT(Tabela1[[#This Row],[Data de Saída]],"mmm")))</f>
        <v>Dez</v>
      </c>
      <c r="J22" s="21" t="str">
        <f>IF(Tabela1[[#This Row],[Data de Saída]]="","",PROPER(TEXT(Tabela1[[#This Row],[Data de Saída]],"aaaa")))</f>
        <v>2019</v>
      </c>
      <c r="K22" s="27" t="str">
        <f>IF(Tabela1[[#This Row],[Data Admissão]]="","",PROPER(TEXT(Tabela1[[#This Row],[Data Admissão]],"mmm")))</f>
        <v>Jul</v>
      </c>
      <c r="L22" s="21" t="str">
        <f>IF(Tabela1[[#This Row],[Data Admissão]]="","",PROPER(TEXT(Tabela1[[#This Row],[Data Admissão]],"aaaa")))</f>
        <v>2019</v>
      </c>
      <c r="M22" s="12" t="s">
        <v>597</v>
      </c>
      <c r="N22" s="22" t="str">
        <f>IFERROR(IF(Tabela1[[#This Row],[Data de Saída]]="","ATIVO","-"),"-")</f>
        <v>-</v>
      </c>
    </row>
    <row r="23" spans="5:14" ht="24.95" customHeight="1" x14ac:dyDescent="0.2">
      <c r="E23" s="26" t="s">
        <v>229</v>
      </c>
      <c r="F23" s="20">
        <v>35565</v>
      </c>
      <c r="G23" s="20">
        <v>43647</v>
      </c>
      <c r="H23" s="12" t="s">
        <v>73</v>
      </c>
      <c r="I23" s="21" t="str">
        <f>IF(Tabela1[[#This Row],[Data de Saída]]="","",PROPER(TEXT(Tabela1[[#This Row],[Data de Saída]],"mmm")))</f>
        <v>Ago</v>
      </c>
      <c r="J23" s="21" t="str">
        <f>IF(Tabela1[[#This Row],[Data de Saída]]="","",PROPER(TEXT(Tabela1[[#This Row],[Data de Saída]],"aaaa")))</f>
        <v>2019</v>
      </c>
      <c r="K23" s="27" t="str">
        <f>IF(Tabela1[[#This Row],[Data Admissão]]="","",PROPER(TEXT(Tabela1[[#This Row],[Data Admissão]],"mmm")))</f>
        <v>Jul</v>
      </c>
      <c r="L23" s="21" t="str">
        <f>IF(Tabela1[[#This Row],[Data Admissão]]="","",PROPER(TEXT(Tabela1[[#This Row],[Data Admissão]],"aaaa")))</f>
        <v>2019</v>
      </c>
      <c r="M23" s="12" t="s">
        <v>598</v>
      </c>
      <c r="N23" s="22" t="str">
        <f>IFERROR(IF(Tabela1[[#This Row],[Data de Saída]]="","ATIVO","-"),"-")</f>
        <v>-</v>
      </c>
    </row>
    <row r="24" spans="5:14" ht="24.95" customHeight="1" x14ac:dyDescent="0.2">
      <c r="E24" s="26" t="s">
        <v>230</v>
      </c>
      <c r="F24" s="20">
        <v>33714</v>
      </c>
      <c r="G24" s="20">
        <v>43647</v>
      </c>
      <c r="H24" s="12" t="s">
        <v>115</v>
      </c>
      <c r="I24" s="21" t="str">
        <f>IF(Tabela1[[#This Row],[Data de Saída]]="","",PROPER(TEXT(Tabela1[[#This Row],[Data de Saída]],"mmm")))</f>
        <v>Mai</v>
      </c>
      <c r="J24" s="21" t="str">
        <f>IF(Tabela1[[#This Row],[Data de Saída]]="","",PROPER(TEXT(Tabela1[[#This Row],[Data de Saída]],"aaaa")))</f>
        <v>2021</v>
      </c>
      <c r="K24" s="27" t="str">
        <f>IF(Tabela1[[#This Row],[Data Admissão]]="","",PROPER(TEXT(Tabela1[[#This Row],[Data Admissão]],"mmm")))</f>
        <v>Jul</v>
      </c>
      <c r="L24" s="21" t="str">
        <f>IF(Tabela1[[#This Row],[Data Admissão]]="","",PROPER(TEXT(Tabela1[[#This Row],[Data Admissão]],"aaaa")))</f>
        <v>2019</v>
      </c>
      <c r="M24" s="12" t="s">
        <v>599</v>
      </c>
      <c r="N24" s="22" t="str">
        <f>IFERROR(IF(Tabela1[[#This Row],[Data de Saída]]="","ATIVO","-"),"-")</f>
        <v>-</v>
      </c>
    </row>
    <row r="25" spans="5:14" ht="24.95" customHeight="1" x14ac:dyDescent="0.2">
      <c r="E25" s="26" t="s">
        <v>231</v>
      </c>
      <c r="F25" s="20">
        <v>34009</v>
      </c>
      <c r="G25" s="20">
        <v>43647</v>
      </c>
      <c r="H25" s="12" t="s">
        <v>73</v>
      </c>
      <c r="I25" s="21" t="str">
        <f>IF(Tabela1[[#This Row],[Data de Saída]]="","",PROPER(TEXT(Tabela1[[#This Row],[Data de Saída]],"mmm")))</f>
        <v>Ago</v>
      </c>
      <c r="J25" s="21" t="str">
        <f>IF(Tabela1[[#This Row],[Data de Saída]]="","",PROPER(TEXT(Tabela1[[#This Row],[Data de Saída]],"aaaa")))</f>
        <v>2019</v>
      </c>
      <c r="K25" s="27" t="str">
        <f>IF(Tabela1[[#This Row],[Data Admissão]]="","",PROPER(TEXT(Tabela1[[#This Row],[Data Admissão]],"mmm")))</f>
        <v>Jul</v>
      </c>
      <c r="L25" s="21" t="str">
        <f>IF(Tabela1[[#This Row],[Data Admissão]]="","",PROPER(TEXT(Tabela1[[#This Row],[Data Admissão]],"aaaa")))</f>
        <v>2019</v>
      </c>
      <c r="M25" s="12" t="s">
        <v>599</v>
      </c>
      <c r="N25" s="22" t="str">
        <f>IFERROR(IF(Tabela1[[#This Row],[Data de Saída]]="","ATIVO","-"),"-")</f>
        <v>-</v>
      </c>
    </row>
    <row r="26" spans="5:14" ht="24.95" customHeight="1" x14ac:dyDescent="0.2">
      <c r="E26" s="26" t="s">
        <v>232</v>
      </c>
      <c r="F26" s="20">
        <v>23686</v>
      </c>
      <c r="G26" s="20">
        <v>43650</v>
      </c>
      <c r="H26" s="12" t="s">
        <v>85</v>
      </c>
      <c r="I26" s="21" t="str">
        <f>IF(Tabela1[[#This Row],[Data de Saída]]="","",PROPER(TEXT(Tabela1[[#This Row],[Data de Saída]],"mmm")))</f>
        <v>Set</v>
      </c>
      <c r="J26" s="21" t="str">
        <f>IF(Tabela1[[#This Row],[Data de Saída]]="","",PROPER(TEXT(Tabela1[[#This Row],[Data de Saída]],"aaaa")))</f>
        <v>2021</v>
      </c>
      <c r="K26" s="27" t="str">
        <f>IF(Tabela1[[#This Row],[Data Admissão]]="","",PROPER(TEXT(Tabela1[[#This Row],[Data Admissão]],"mmm")))</f>
        <v>Jul</v>
      </c>
      <c r="L26" s="21" t="str">
        <f>IF(Tabela1[[#This Row],[Data Admissão]]="","",PROPER(TEXT(Tabela1[[#This Row],[Data Admissão]],"aaaa")))</f>
        <v>2019</v>
      </c>
      <c r="M26" s="12" t="s">
        <v>599</v>
      </c>
      <c r="N26" s="22" t="str">
        <f>IFERROR(IF(Tabela1[[#This Row],[Data de Saída]]="","ATIVO","-"),"-")</f>
        <v>-</v>
      </c>
    </row>
    <row r="27" spans="5:14" ht="24.95" customHeight="1" x14ac:dyDescent="0.2">
      <c r="E27" s="26" t="s">
        <v>233</v>
      </c>
      <c r="F27" s="20">
        <v>30413</v>
      </c>
      <c r="G27" s="20">
        <v>43685</v>
      </c>
      <c r="H27" s="12" t="s">
        <v>18</v>
      </c>
      <c r="I27" s="21" t="str">
        <f>IF(Tabela1[[#This Row],[Data de Saída]]="","",PROPER(TEXT(Tabela1[[#This Row],[Data de Saída]],"mmm")))</f>
        <v>Fev</v>
      </c>
      <c r="J27" s="21" t="str">
        <f>IF(Tabela1[[#This Row],[Data de Saída]]="","",PROPER(TEXT(Tabela1[[#This Row],[Data de Saída]],"aaaa")))</f>
        <v>2021</v>
      </c>
      <c r="K27" s="27" t="str">
        <f>IF(Tabela1[[#This Row],[Data Admissão]]="","",PROPER(TEXT(Tabela1[[#This Row],[Data Admissão]],"mmm")))</f>
        <v>Ago</v>
      </c>
      <c r="L27" s="21" t="str">
        <f>IF(Tabela1[[#This Row],[Data Admissão]]="","",PROPER(TEXT(Tabela1[[#This Row],[Data Admissão]],"aaaa")))</f>
        <v>2019</v>
      </c>
      <c r="M27" s="12" t="s">
        <v>599</v>
      </c>
      <c r="N27" s="22" t="str">
        <f>IFERROR(IF(Tabela1[[#This Row],[Data de Saída]]="","ATIVO","-"),"-")</f>
        <v>-</v>
      </c>
    </row>
    <row r="28" spans="5:14" ht="24.95" customHeight="1" x14ac:dyDescent="0.2">
      <c r="E28" s="26" t="s">
        <v>234</v>
      </c>
      <c r="F28" s="20">
        <v>30482</v>
      </c>
      <c r="G28" s="20">
        <v>43685</v>
      </c>
      <c r="H28" s="12" t="s">
        <v>60</v>
      </c>
      <c r="I28" s="21" t="str">
        <f>IF(Tabela1[[#This Row],[Data de Saída]]="","",PROPER(TEXT(Tabela1[[#This Row],[Data de Saída]],"mmm")))</f>
        <v>Mai</v>
      </c>
      <c r="J28" s="21" t="str">
        <f>IF(Tabela1[[#This Row],[Data de Saída]]="","",PROPER(TEXT(Tabela1[[#This Row],[Data de Saída]],"aaaa")))</f>
        <v>2022</v>
      </c>
      <c r="K28" s="27" t="str">
        <f>IF(Tabela1[[#This Row],[Data Admissão]]="","",PROPER(TEXT(Tabela1[[#This Row],[Data Admissão]],"mmm")))</f>
        <v>Ago</v>
      </c>
      <c r="L28" s="21" t="str">
        <f>IF(Tabela1[[#This Row],[Data Admissão]]="","",PROPER(TEXT(Tabela1[[#This Row],[Data Admissão]],"aaaa")))</f>
        <v>2019</v>
      </c>
      <c r="M28" s="12" t="s">
        <v>600</v>
      </c>
      <c r="N28" s="22" t="str">
        <f>IFERROR(IF(Tabela1[[#This Row],[Data de Saída]]="","ATIVO","-"),"-")</f>
        <v>-</v>
      </c>
    </row>
    <row r="29" spans="5:14" ht="24.95" customHeight="1" x14ac:dyDescent="0.2">
      <c r="E29" s="26" t="s">
        <v>235</v>
      </c>
      <c r="F29" s="20">
        <v>34148</v>
      </c>
      <c r="G29" s="20">
        <v>43689</v>
      </c>
      <c r="H29" s="12" t="s">
        <v>105</v>
      </c>
      <c r="I29" s="21" t="str">
        <f>IF(Tabela1[[#This Row],[Data de Saída]]="","",PROPER(TEXT(Tabela1[[#This Row],[Data de Saída]],"mmm")))</f>
        <v>Fev</v>
      </c>
      <c r="J29" s="21" t="str">
        <f>IF(Tabela1[[#This Row],[Data de Saída]]="","",PROPER(TEXT(Tabela1[[#This Row],[Data de Saída]],"aaaa")))</f>
        <v>2020</v>
      </c>
      <c r="K29" s="27" t="str">
        <f>IF(Tabela1[[#This Row],[Data Admissão]]="","",PROPER(TEXT(Tabela1[[#This Row],[Data Admissão]],"mmm")))</f>
        <v>Ago</v>
      </c>
      <c r="L29" s="21" t="str">
        <f>IF(Tabela1[[#This Row],[Data Admissão]]="","",PROPER(TEXT(Tabela1[[#This Row],[Data Admissão]],"aaaa")))</f>
        <v>2019</v>
      </c>
      <c r="M29" s="12" t="s">
        <v>601</v>
      </c>
      <c r="N29" s="22" t="str">
        <f>IFERROR(IF(Tabela1[[#This Row],[Data de Saída]]="","ATIVO","-"),"-")</f>
        <v>-</v>
      </c>
    </row>
    <row r="30" spans="5:14" ht="24.95" customHeight="1" x14ac:dyDescent="0.2">
      <c r="E30" s="26" t="s">
        <v>236</v>
      </c>
      <c r="F30" s="20">
        <v>30475</v>
      </c>
      <c r="G30" s="20">
        <v>43696</v>
      </c>
      <c r="H30" s="12" t="s">
        <v>21</v>
      </c>
      <c r="I30" s="21" t="str">
        <f>IF(Tabela1[[#This Row],[Data de Saída]]="","",PROPER(TEXT(Tabela1[[#This Row],[Data de Saída]],"mmm")))</f>
        <v>Set</v>
      </c>
      <c r="J30" s="21" t="str">
        <f>IF(Tabela1[[#This Row],[Data de Saída]]="","",PROPER(TEXT(Tabela1[[#This Row],[Data de Saída]],"aaaa")))</f>
        <v>2019</v>
      </c>
      <c r="K30" s="27" t="str">
        <f>IF(Tabela1[[#This Row],[Data Admissão]]="","",PROPER(TEXT(Tabela1[[#This Row],[Data Admissão]],"mmm")))</f>
        <v>Ago</v>
      </c>
      <c r="L30" s="21" t="str">
        <f>IF(Tabela1[[#This Row],[Data Admissão]]="","",PROPER(TEXT(Tabela1[[#This Row],[Data Admissão]],"aaaa")))</f>
        <v>2019</v>
      </c>
      <c r="M30" s="12" t="s">
        <v>602</v>
      </c>
      <c r="N30" s="22" t="str">
        <f>IFERROR(IF(Tabela1[[#This Row],[Data de Saída]]="","ATIVO","-"),"-")</f>
        <v>-</v>
      </c>
    </row>
    <row r="31" spans="5:14" ht="24.95" customHeight="1" x14ac:dyDescent="0.2">
      <c r="E31" s="26" t="s">
        <v>237</v>
      </c>
      <c r="F31" s="20">
        <v>33099</v>
      </c>
      <c r="G31" s="20">
        <v>43696</v>
      </c>
      <c r="H31" s="12" t="s">
        <v>37</v>
      </c>
      <c r="I31" s="21" t="str">
        <f>IF(Tabela1[[#This Row],[Data de Saída]]="","",PROPER(TEXT(Tabela1[[#This Row],[Data de Saída]],"mmm")))</f>
        <v>Out</v>
      </c>
      <c r="J31" s="21" t="str">
        <f>IF(Tabela1[[#This Row],[Data de Saída]]="","",PROPER(TEXT(Tabela1[[#This Row],[Data de Saída]],"aaaa")))</f>
        <v>2019</v>
      </c>
      <c r="K31" s="27" t="str">
        <f>IF(Tabela1[[#This Row],[Data Admissão]]="","",PROPER(TEXT(Tabela1[[#This Row],[Data Admissão]],"mmm")))</f>
        <v>Ago</v>
      </c>
      <c r="L31" s="21" t="str">
        <f>IF(Tabela1[[#This Row],[Data Admissão]]="","",PROPER(TEXT(Tabela1[[#This Row],[Data Admissão]],"aaaa")))</f>
        <v>2019</v>
      </c>
      <c r="M31" s="12" t="s">
        <v>594</v>
      </c>
      <c r="N31" s="22" t="str">
        <f>IFERROR(IF(Tabela1[[#This Row],[Data de Saída]]="","ATIVO","-"),"-")</f>
        <v>-</v>
      </c>
    </row>
    <row r="32" spans="5:14" ht="24.95" customHeight="1" x14ac:dyDescent="0.2">
      <c r="E32" s="26" t="s">
        <v>238</v>
      </c>
      <c r="F32" s="20">
        <v>35446</v>
      </c>
      <c r="G32" s="20">
        <v>43696</v>
      </c>
      <c r="H32" s="12" t="s">
        <v>90</v>
      </c>
      <c r="I32" s="21" t="str">
        <f>IF(Tabela1[[#This Row],[Data de Saída]]="","",PROPER(TEXT(Tabela1[[#This Row],[Data de Saída]],"mmm")))</f>
        <v>Nov</v>
      </c>
      <c r="J32" s="21" t="str">
        <f>IF(Tabela1[[#This Row],[Data de Saída]]="","",PROPER(TEXT(Tabela1[[#This Row],[Data de Saída]],"aaaa")))</f>
        <v>2020</v>
      </c>
      <c r="K32" s="27" t="str">
        <f>IF(Tabela1[[#This Row],[Data Admissão]]="","",PROPER(TEXT(Tabela1[[#This Row],[Data Admissão]],"mmm")))</f>
        <v>Ago</v>
      </c>
      <c r="L32" s="21" t="str">
        <f>IF(Tabela1[[#This Row],[Data Admissão]]="","",PROPER(TEXT(Tabela1[[#This Row],[Data Admissão]],"aaaa")))</f>
        <v>2019</v>
      </c>
      <c r="M32" s="12" t="s">
        <v>594</v>
      </c>
      <c r="N32" s="22" t="str">
        <f>IFERROR(IF(Tabela1[[#This Row],[Data de Saída]]="","ATIVO","-"),"-")</f>
        <v>-</v>
      </c>
    </row>
    <row r="33" spans="5:14" ht="24.95" customHeight="1" x14ac:dyDescent="0.2">
      <c r="E33" s="26" t="s">
        <v>239</v>
      </c>
      <c r="F33" s="20">
        <v>32297</v>
      </c>
      <c r="G33" s="20">
        <v>43696</v>
      </c>
      <c r="H33" s="12" t="s">
        <v>37</v>
      </c>
      <c r="I33" s="21" t="str">
        <f>IF(Tabela1[[#This Row],[Data de Saída]]="","",PROPER(TEXT(Tabela1[[#This Row],[Data de Saída]],"mmm")))</f>
        <v>Out</v>
      </c>
      <c r="J33" s="21" t="str">
        <f>IF(Tabela1[[#This Row],[Data de Saída]]="","",PROPER(TEXT(Tabela1[[#This Row],[Data de Saída]],"aaaa")))</f>
        <v>2019</v>
      </c>
      <c r="K33" s="27" t="str">
        <f>IF(Tabela1[[#This Row],[Data Admissão]]="","",PROPER(TEXT(Tabela1[[#This Row],[Data Admissão]],"mmm")))</f>
        <v>Ago</v>
      </c>
      <c r="L33" s="21" t="str">
        <f>IF(Tabela1[[#This Row],[Data Admissão]]="","",PROPER(TEXT(Tabela1[[#This Row],[Data Admissão]],"aaaa")))</f>
        <v>2019</v>
      </c>
      <c r="M33" s="12" t="s">
        <v>595</v>
      </c>
      <c r="N33" s="22" t="str">
        <f>IFERROR(IF(Tabela1[[#This Row],[Data de Saída]]="","ATIVO","-"),"-")</f>
        <v>-</v>
      </c>
    </row>
    <row r="34" spans="5:14" ht="24.95" customHeight="1" x14ac:dyDescent="0.2">
      <c r="E34" s="26" t="s">
        <v>240</v>
      </c>
      <c r="F34" s="20">
        <v>32645</v>
      </c>
      <c r="G34" s="20">
        <v>43696</v>
      </c>
      <c r="H34" s="12" t="s">
        <v>14</v>
      </c>
      <c r="I34" s="21" t="str">
        <f>IF(Tabela1[[#This Row],[Data de Saída]]="","",PROPER(TEXT(Tabela1[[#This Row],[Data de Saída]],"mmm")))</f>
        <v>Abr</v>
      </c>
      <c r="J34" s="21" t="str">
        <f>IF(Tabela1[[#This Row],[Data de Saída]]="","",PROPER(TEXT(Tabela1[[#This Row],[Data de Saída]],"aaaa")))</f>
        <v>2022</v>
      </c>
      <c r="K34" s="27" t="str">
        <f>IF(Tabela1[[#This Row],[Data Admissão]]="","",PROPER(TEXT(Tabela1[[#This Row],[Data Admissão]],"mmm")))</f>
        <v>Ago</v>
      </c>
      <c r="L34" s="21" t="str">
        <f>IF(Tabela1[[#This Row],[Data Admissão]]="","",PROPER(TEXT(Tabela1[[#This Row],[Data Admissão]],"aaaa")))</f>
        <v>2019</v>
      </c>
      <c r="M34" s="12" t="s">
        <v>596</v>
      </c>
      <c r="N34" s="22" t="str">
        <f>IFERROR(IF(Tabela1[[#This Row],[Data de Saída]]="","ATIVO","-"),"-")</f>
        <v>-</v>
      </c>
    </row>
    <row r="35" spans="5:14" ht="24.95" customHeight="1" x14ac:dyDescent="0.2">
      <c r="E35" s="26" t="s">
        <v>241</v>
      </c>
      <c r="F35" s="20">
        <v>36062</v>
      </c>
      <c r="G35" s="20">
        <v>43696</v>
      </c>
      <c r="H35" s="12" t="s">
        <v>5</v>
      </c>
      <c r="I35" s="21" t="str">
        <f>IF(Tabela1[[#This Row],[Data de Saída]]="","",PROPER(TEXT(Tabela1[[#This Row],[Data de Saída]],"mmm")))</f>
        <v>Mar</v>
      </c>
      <c r="J35" s="21" t="str">
        <f>IF(Tabela1[[#This Row],[Data de Saída]]="","",PROPER(TEXT(Tabela1[[#This Row],[Data de Saída]],"aaaa")))</f>
        <v>2021</v>
      </c>
      <c r="K35" s="27" t="str">
        <f>IF(Tabela1[[#This Row],[Data Admissão]]="","",PROPER(TEXT(Tabela1[[#This Row],[Data Admissão]],"mmm")))</f>
        <v>Ago</v>
      </c>
      <c r="L35" s="21" t="str">
        <f>IF(Tabela1[[#This Row],[Data Admissão]]="","",PROPER(TEXT(Tabela1[[#This Row],[Data Admissão]],"aaaa")))</f>
        <v>2019</v>
      </c>
      <c r="M35" s="12" t="s">
        <v>597</v>
      </c>
      <c r="N35" s="22" t="str">
        <f>IFERROR(IF(Tabela1[[#This Row],[Data de Saída]]="","ATIVO","-"),"-")</f>
        <v>-</v>
      </c>
    </row>
    <row r="36" spans="5:14" ht="24.95" customHeight="1" x14ac:dyDescent="0.2">
      <c r="E36" s="26" t="s">
        <v>242</v>
      </c>
      <c r="F36" s="20">
        <v>37311</v>
      </c>
      <c r="G36" s="20">
        <v>43696</v>
      </c>
      <c r="H36" s="12" t="s">
        <v>20</v>
      </c>
      <c r="I36" s="21" t="str">
        <f>IF(Tabela1[[#This Row],[Data de Saída]]="","",PROPER(TEXT(Tabela1[[#This Row],[Data de Saída]],"mmm")))</f>
        <v>Fev</v>
      </c>
      <c r="J36" s="21" t="str">
        <f>IF(Tabela1[[#This Row],[Data de Saída]]="","",PROPER(TEXT(Tabela1[[#This Row],[Data de Saída]],"aaaa")))</f>
        <v>2021</v>
      </c>
      <c r="K36" s="27" t="str">
        <f>IF(Tabela1[[#This Row],[Data Admissão]]="","",PROPER(TEXT(Tabela1[[#This Row],[Data Admissão]],"mmm")))</f>
        <v>Ago</v>
      </c>
      <c r="L36" s="21" t="str">
        <f>IF(Tabela1[[#This Row],[Data Admissão]]="","",PROPER(TEXT(Tabela1[[#This Row],[Data Admissão]],"aaaa")))</f>
        <v>2019</v>
      </c>
      <c r="M36" s="12" t="s">
        <v>598</v>
      </c>
      <c r="N36" s="22" t="str">
        <f>IFERROR(IF(Tabela1[[#This Row],[Data de Saída]]="","ATIVO","-"),"-")</f>
        <v>-</v>
      </c>
    </row>
    <row r="37" spans="5:14" ht="24.95" customHeight="1" x14ac:dyDescent="0.2">
      <c r="E37" s="26" t="s">
        <v>243</v>
      </c>
      <c r="F37" s="20">
        <v>37015</v>
      </c>
      <c r="G37" s="20">
        <v>43696</v>
      </c>
      <c r="H37" s="12" t="s">
        <v>35</v>
      </c>
      <c r="I37" s="21" t="str">
        <f>IF(Tabela1[[#This Row],[Data de Saída]]="","",PROPER(TEXT(Tabela1[[#This Row],[Data de Saída]],"mmm")))</f>
        <v>Fev</v>
      </c>
      <c r="J37" s="21" t="str">
        <f>IF(Tabela1[[#This Row],[Data de Saída]]="","",PROPER(TEXT(Tabela1[[#This Row],[Data de Saída]],"aaaa")))</f>
        <v>2020</v>
      </c>
      <c r="K37" s="27" t="str">
        <f>IF(Tabela1[[#This Row],[Data Admissão]]="","",PROPER(TEXT(Tabela1[[#This Row],[Data Admissão]],"mmm")))</f>
        <v>Ago</v>
      </c>
      <c r="L37" s="21" t="str">
        <f>IF(Tabela1[[#This Row],[Data Admissão]]="","",PROPER(TEXT(Tabela1[[#This Row],[Data Admissão]],"aaaa")))</f>
        <v>2019</v>
      </c>
      <c r="M37" s="12" t="s">
        <v>599</v>
      </c>
      <c r="N37" s="22" t="str">
        <f>IFERROR(IF(Tabela1[[#This Row],[Data de Saída]]="","ATIVO","-"),"-")</f>
        <v>-</v>
      </c>
    </row>
    <row r="38" spans="5:14" ht="24.95" customHeight="1" x14ac:dyDescent="0.2">
      <c r="E38" s="26" t="s">
        <v>244</v>
      </c>
      <c r="F38" s="20">
        <v>37255</v>
      </c>
      <c r="G38" s="20">
        <v>43696</v>
      </c>
      <c r="H38" s="12" t="s">
        <v>132</v>
      </c>
      <c r="I38" s="21" t="str">
        <f>IF(Tabela1[[#This Row],[Data de Saída]]="","",PROPER(TEXT(Tabela1[[#This Row],[Data de Saída]],"mmm")))</f>
        <v>Nov</v>
      </c>
      <c r="J38" s="21" t="str">
        <f>IF(Tabela1[[#This Row],[Data de Saída]]="","",PROPER(TEXT(Tabela1[[#This Row],[Data de Saída]],"aaaa")))</f>
        <v>2019</v>
      </c>
      <c r="K38" s="27" t="str">
        <f>IF(Tabela1[[#This Row],[Data Admissão]]="","",PROPER(TEXT(Tabela1[[#This Row],[Data Admissão]],"mmm")))</f>
        <v>Ago</v>
      </c>
      <c r="L38" s="21" t="str">
        <f>IF(Tabela1[[#This Row],[Data Admissão]]="","",PROPER(TEXT(Tabela1[[#This Row],[Data Admissão]],"aaaa")))</f>
        <v>2019</v>
      </c>
      <c r="M38" s="12" t="s">
        <v>599</v>
      </c>
      <c r="N38" s="22" t="str">
        <f>IFERROR(IF(Tabela1[[#This Row],[Data de Saída]]="","ATIVO","-"),"-")</f>
        <v>-</v>
      </c>
    </row>
    <row r="39" spans="5:14" ht="24.95" customHeight="1" x14ac:dyDescent="0.2">
      <c r="E39" s="26" t="s">
        <v>245</v>
      </c>
      <c r="F39" s="20">
        <v>31245</v>
      </c>
      <c r="G39" s="20">
        <v>43696</v>
      </c>
      <c r="H39" s="12" t="s">
        <v>45</v>
      </c>
      <c r="I39" s="21" t="str">
        <f>IF(Tabela1[[#This Row],[Data de Saída]]="","",PROPER(TEXT(Tabela1[[#This Row],[Data de Saída]],"mmm")))</f>
        <v>Dez</v>
      </c>
      <c r="J39" s="21" t="str">
        <f>IF(Tabela1[[#This Row],[Data de Saída]]="","",PROPER(TEXT(Tabela1[[#This Row],[Data de Saída]],"aaaa")))</f>
        <v>2019</v>
      </c>
      <c r="K39" s="27" t="str">
        <f>IF(Tabela1[[#This Row],[Data Admissão]]="","",PROPER(TEXT(Tabela1[[#This Row],[Data Admissão]],"mmm")))</f>
        <v>Ago</v>
      </c>
      <c r="L39" s="21" t="str">
        <f>IF(Tabela1[[#This Row],[Data Admissão]]="","",PROPER(TEXT(Tabela1[[#This Row],[Data Admissão]],"aaaa")))</f>
        <v>2019</v>
      </c>
      <c r="M39" s="12" t="s">
        <v>599</v>
      </c>
      <c r="N39" s="22" t="str">
        <f>IFERROR(IF(Tabela1[[#This Row],[Data de Saída]]="","ATIVO","-"),"-")</f>
        <v>-</v>
      </c>
    </row>
    <row r="40" spans="5:14" ht="24.95" customHeight="1" x14ac:dyDescent="0.2">
      <c r="E40" s="26" t="s">
        <v>246</v>
      </c>
      <c r="F40" s="20">
        <v>32429</v>
      </c>
      <c r="G40" s="20">
        <v>43696</v>
      </c>
      <c r="H40" s="12" t="s">
        <v>135</v>
      </c>
      <c r="I40" s="21" t="str">
        <f>IF(Tabela1[[#This Row],[Data de Saída]]="","",PROPER(TEXT(Tabela1[[#This Row],[Data de Saída]],"mmm")))</f>
        <v>Mai</v>
      </c>
      <c r="J40" s="21" t="str">
        <f>IF(Tabela1[[#This Row],[Data de Saída]]="","",PROPER(TEXT(Tabela1[[#This Row],[Data de Saída]],"aaaa")))</f>
        <v>2020</v>
      </c>
      <c r="K40" s="27" t="str">
        <f>IF(Tabela1[[#This Row],[Data Admissão]]="","",PROPER(TEXT(Tabela1[[#This Row],[Data Admissão]],"mmm")))</f>
        <v>Ago</v>
      </c>
      <c r="L40" s="21" t="str">
        <f>IF(Tabela1[[#This Row],[Data Admissão]]="","",PROPER(TEXT(Tabela1[[#This Row],[Data Admissão]],"aaaa")))</f>
        <v>2019</v>
      </c>
      <c r="M40" s="12" t="s">
        <v>599</v>
      </c>
      <c r="N40" s="22" t="str">
        <f>IFERROR(IF(Tabela1[[#This Row],[Data de Saída]]="","ATIVO","-"),"-")</f>
        <v>-</v>
      </c>
    </row>
    <row r="41" spans="5:14" ht="24.95" customHeight="1" x14ac:dyDescent="0.2">
      <c r="E41" s="26" t="s">
        <v>247</v>
      </c>
      <c r="F41" s="20">
        <v>35117</v>
      </c>
      <c r="G41" s="20">
        <v>43696</v>
      </c>
      <c r="H41" s="12" t="s">
        <v>14</v>
      </c>
      <c r="I41" s="21" t="str">
        <f>IF(Tabela1[[#This Row],[Data de Saída]]="","",PROPER(TEXT(Tabela1[[#This Row],[Data de Saída]],"mmm")))</f>
        <v>Abr</v>
      </c>
      <c r="J41" s="21" t="str">
        <f>IF(Tabela1[[#This Row],[Data de Saída]]="","",PROPER(TEXT(Tabela1[[#This Row],[Data de Saída]],"aaaa")))</f>
        <v>2022</v>
      </c>
      <c r="K41" s="27" t="str">
        <f>IF(Tabela1[[#This Row],[Data Admissão]]="","",PROPER(TEXT(Tabela1[[#This Row],[Data Admissão]],"mmm")))</f>
        <v>Ago</v>
      </c>
      <c r="L41" s="21" t="str">
        <f>IF(Tabela1[[#This Row],[Data Admissão]]="","",PROPER(TEXT(Tabela1[[#This Row],[Data Admissão]],"aaaa")))</f>
        <v>2019</v>
      </c>
      <c r="M41" s="12" t="s">
        <v>600</v>
      </c>
      <c r="N41" s="22" t="str">
        <f>IFERROR(IF(Tabela1[[#This Row],[Data de Saída]]="","ATIVO","-"),"-")</f>
        <v>-</v>
      </c>
    </row>
    <row r="42" spans="5:14" ht="24.95" customHeight="1" x14ac:dyDescent="0.2">
      <c r="E42" s="26" t="s">
        <v>248</v>
      </c>
      <c r="F42" s="20">
        <v>35921</v>
      </c>
      <c r="G42" s="20">
        <v>43696</v>
      </c>
      <c r="H42" s="12" t="s">
        <v>5</v>
      </c>
      <c r="I42" s="21" t="str">
        <f>IF(Tabela1[[#This Row],[Data de Saída]]="","",PROPER(TEXT(Tabela1[[#This Row],[Data de Saída]],"mmm")))</f>
        <v>Mar</v>
      </c>
      <c r="J42" s="21" t="str">
        <f>IF(Tabela1[[#This Row],[Data de Saída]]="","",PROPER(TEXT(Tabela1[[#This Row],[Data de Saída]],"aaaa")))</f>
        <v>2021</v>
      </c>
      <c r="K42" s="27" t="str">
        <f>IF(Tabela1[[#This Row],[Data Admissão]]="","",PROPER(TEXT(Tabela1[[#This Row],[Data Admissão]],"mmm")))</f>
        <v>Ago</v>
      </c>
      <c r="L42" s="21" t="str">
        <f>IF(Tabela1[[#This Row],[Data Admissão]]="","",PROPER(TEXT(Tabela1[[#This Row],[Data Admissão]],"aaaa")))</f>
        <v>2019</v>
      </c>
      <c r="M42" s="12" t="s">
        <v>601</v>
      </c>
      <c r="N42" s="22" t="str">
        <f>IFERROR(IF(Tabela1[[#This Row],[Data de Saída]]="","ATIVO","-"),"-")</f>
        <v>-</v>
      </c>
    </row>
    <row r="43" spans="5:14" ht="24.95" customHeight="1" x14ac:dyDescent="0.2">
      <c r="E43" s="26" t="s">
        <v>249</v>
      </c>
      <c r="F43" s="20">
        <v>34824</v>
      </c>
      <c r="G43" s="20">
        <v>43696</v>
      </c>
      <c r="H43" s="12" t="s">
        <v>37</v>
      </c>
      <c r="I43" s="21" t="str">
        <f>IF(Tabela1[[#This Row],[Data de Saída]]="","",PROPER(TEXT(Tabela1[[#This Row],[Data de Saída]],"mmm")))</f>
        <v>Out</v>
      </c>
      <c r="J43" s="21" t="str">
        <f>IF(Tabela1[[#This Row],[Data de Saída]]="","",PROPER(TEXT(Tabela1[[#This Row],[Data de Saída]],"aaaa")))</f>
        <v>2019</v>
      </c>
      <c r="K43" s="27" t="str">
        <f>IF(Tabela1[[#This Row],[Data Admissão]]="","",PROPER(TEXT(Tabela1[[#This Row],[Data Admissão]],"mmm")))</f>
        <v>Ago</v>
      </c>
      <c r="L43" s="21" t="str">
        <f>IF(Tabela1[[#This Row],[Data Admissão]]="","",PROPER(TEXT(Tabela1[[#This Row],[Data Admissão]],"aaaa")))</f>
        <v>2019</v>
      </c>
      <c r="M43" s="12" t="s">
        <v>602</v>
      </c>
      <c r="N43" s="22" t="str">
        <f>IFERROR(IF(Tabela1[[#This Row],[Data de Saída]]="","ATIVO","-"),"-")</f>
        <v>-</v>
      </c>
    </row>
    <row r="44" spans="5:14" ht="24.95" customHeight="1" x14ac:dyDescent="0.2">
      <c r="E44" s="26" t="s">
        <v>250</v>
      </c>
      <c r="F44" s="20">
        <v>32338</v>
      </c>
      <c r="G44" s="20">
        <v>43696</v>
      </c>
      <c r="H44" s="12" t="s">
        <v>20</v>
      </c>
      <c r="I44" s="21" t="str">
        <f>IF(Tabela1[[#This Row],[Data de Saída]]="","",PROPER(TEXT(Tabela1[[#This Row],[Data de Saída]],"mmm")))</f>
        <v>Fev</v>
      </c>
      <c r="J44" s="21" t="str">
        <f>IF(Tabela1[[#This Row],[Data de Saída]]="","",PROPER(TEXT(Tabela1[[#This Row],[Data de Saída]],"aaaa")))</f>
        <v>2021</v>
      </c>
      <c r="K44" s="27" t="str">
        <f>IF(Tabela1[[#This Row],[Data Admissão]]="","",PROPER(TEXT(Tabela1[[#This Row],[Data Admissão]],"mmm")))</f>
        <v>Ago</v>
      </c>
      <c r="L44" s="21" t="str">
        <f>IF(Tabela1[[#This Row],[Data Admissão]]="","",PROPER(TEXT(Tabela1[[#This Row],[Data Admissão]],"aaaa")))</f>
        <v>2019</v>
      </c>
      <c r="M44" s="12" t="s">
        <v>594</v>
      </c>
      <c r="N44" s="22" t="str">
        <f>IFERROR(IF(Tabela1[[#This Row],[Data de Saída]]="","ATIVO","-"),"-")</f>
        <v>-</v>
      </c>
    </row>
    <row r="45" spans="5:14" ht="24.95" customHeight="1" x14ac:dyDescent="0.2">
      <c r="E45" s="26" t="s">
        <v>251</v>
      </c>
      <c r="F45" s="20">
        <v>35276</v>
      </c>
      <c r="G45" s="20">
        <v>43696</v>
      </c>
      <c r="H45" s="12"/>
      <c r="I45" s="21" t="str">
        <f>IF(Tabela1[[#This Row],[Data de Saída]]="","",PROPER(TEXT(Tabela1[[#This Row],[Data de Saída]],"mmm")))</f>
        <v/>
      </c>
      <c r="J45" s="21" t="str">
        <f>IF(Tabela1[[#This Row],[Data de Saída]]="","",PROPER(TEXT(Tabela1[[#This Row],[Data de Saída]],"aaaa")))</f>
        <v/>
      </c>
      <c r="K45" s="27" t="str">
        <f>IF(Tabela1[[#This Row],[Data Admissão]]="","",PROPER(TEXT(Tabela1[[#This Row],[Data Admissão]],"mmm")))</f>
        <v>Ago</v>
      </c>
      <c r="L45" s="21" t="str">
        <f>IF(Tabela1[[#This Row],[Data Admissão]]="","",PROPER(TEXT(Tabela1[[#This Row],[Data Admissão]],"aaaa")))</f>
        <v>2019</v>
      </c>
      <c r="M45" s="12" t="s">
        <v>594</v>
      </c>
      <c r="N45" s="22" t="str">
        <f>IFERROR(IF(Tabela1[[#This Row],[Data de Saída]]="","ATIVO","-"),"-")</f>
        <v>ATIVO</v>
      </c>
    </row>
    <row r="46" spans="5:14" ht="24.95" customHeight="1" x14ac:dyDescent="0.2">
      <c r="E46" s="26" t="s">
        <v>252</v>
      </c>
      <c r="F46" s="20">
        <v>37006</v>
      </c>
      <c r="G46" s="20">
        <v>43696</v>
      </c>
      <c r="H46" s="12" t="s">
        <v>165</v>
      </c>
      <c r="I46" s="21" t="str">
        <f>IF(Tabela1[[#This Row],[Data de Saída]]="","",PROPER(TEXT(Tabela1[[#This Row],[Data de Saída]],"mmm")))</f>
        <v>Set</v>
      </c>
      <c r="J46" s="21" t="str">
        <f>IF(Tabela1[[#This Row],[Data de Saída]]="","",PROPER(TEXT(Tabela1[[#This Row],[Data de Saída]],"aaaa")))</f>
        <v>2019</v>
      </c>
      <c r="K46" s="27" t="str">
        <f>IF(Tabela1[[#This Row],[Data Admissão]]="","",PROPER(TEXT(Tabela1[[#This Row],[Data Admissão]],"mmm")))</f>
        <v>Ago</v>
      </c>
      <c r="L46" s="21" t="str">
        <f>IF(Tabela1[[#This Row],[Data Admissão]]="","",PROPER(TEXT(Tabela1[[#This Row],[Data Admissão]],"aaaa")))</f>
        <v>2019</v>
      </c>
      <c r="M46" s="12" t="s">
        <v>595</v>
      </c>
      <c r="N46" s="22" t="str">
        <f>IFERROR(IF(Tabela1[[#This Row],[Data de Saída]]="","ATIVO","-"),"-")</f>
        <v>-</v>
      </c>
    </row>
    <row r="47" spans="5:14" ht="24.95" customHeight="1" x14ac:dyDescent="0.2">
      <c r="E47" s="26" t="s">
        <v>253</v>
      </c>
      <c r="F47" s="20">
        <v>31977</v>
      </c>
      <c r="G47" s="20">
        <v>43698</v>
      </c>
      <c r="H47" s="12" t="s">
        <v>77</v>
      </c>
      <c r="I47" s="21" t="str">
        <f>IF(Tabela1[[#This Row],[Data de Saída]]="","",PROPER(TEXT(Tabela1[[#This Row],[Data de Saída]],"mmm")))</f>
        <v>Dez</v>
      </c>
      <c r="J47" s="21" t="str">
        <f>IF(Tabela1[[#This Row],[Data de Saída]]="","",PROPER(TEXT(Tabela1[[#This Row],[Data de Saída]],"aaaa")))</f>
        <v>2020</v>
      </c>
      <c r="K47" s="27" t="str">
        <f>IF(Tabela1[[#This Row],[Data Admissão]]="","",PROPER(TEXT(Tabela1[[#This Row],[Data Admissão]],"mmm")))</f>
        <v>Ago</v>
      </c>
      <c r="L47" s="21" t="str">
        <f>IF(Tabela1[[#This Row],[Data Admissão]]="","",PROPER(TEXT(Tabela1[[#This Row],[Data Admissão]],"aaaa")))</f>
        <v>2019</v>
      </c>
      <c r="M47" s="12" t="s">
        <v>596</v>
      </c>
      <c r="N47" s="22" t="str">
        <f>IFERROR(IF(Tabela1[[#This Row],[Data de Saída]]="","ATIVO","-"),"-")</f>
        <v>-</v>
      </c>
    </row>
    <row r="48" spans="5:14" ht="24.95" customHeight="1" x14ac:dyDescent="0.2">
      <c r="E48" s="26" t="s">
        <v>254</v>
      </c>
      <c r="F48" s="20">
        <v>32247</v>
      </c>
      <c r="G48" s="20">
        <v>43698</v>
      </c>
      <c r="H48" s="12" t="s">
        <v>79</v>
      </c>
      <c r="I48" s="21" t="str">
        <f>IF(Tabela1[[#This Row],[Data de Saída]]="","",PROPER(TEXT(Tabela1[[#This Row],[Data de Saída]],"mmm")))</f>
        <v>Out</v>
      </c>
      <c r="J48" s="21" t="str">
        <f>IF(Tabela1[[#This Row],[Data de Saída]]="","",PROPER(TEXT(Tabela1[[#This Row],[Data de Saída]],"aaaa")))</f>
        <v>2020</v>
      </c>
      <c r="K48" s="27" t="str">
        <f>IF(Tabela1[[#This Row],[Data Admissão]]="","",PROPER(TEXT(Tabela1[[#This Row],[Data Admissão]],"mmm")))</f>
        <v>Ago</v>
      </c>
      <c r="L48" s="21" t="str">
        <f>IF(Tabela1[[#This Row],[Data Admissão]]="","",PROPER(TEXT(Tabela1[[#This Row],[Data Admissão]],"aaaa")))</f>
        <v>2019</v>
      </c>
      <c r="M48" s="12" t="s">
        <v>597</v>
      </c>
      <c r="N48" s="22" t="str">
        <f>IFERROR(IF(Tabela1[[#This Row],[Data de Saída]]="","ATIVO","-"),"-")</f>
        <v>-</v>
      </c>
    </row>
    <row r="49" spans="5:14" ht="24.95" customHeight="1" x14ac:dyDescent="0.2">
      <c r="E49" s="26" t="s">
        <v>255</v>
      </c>
      <c r="F49" s="20">
        <v>26702</v>
      </c>
      <c r="G49" s="20">
        <v>43698</v>
      </c>
      <c r="H49" s="12" t="s">
        <v>112</v>
      </c>
      <c r="I49" s="21" t="str">
        <f>IF(Tabela1[[#This Row],[Data de Saída]]="","",PROPER(TEXT(Tabela1[[#This Row],[Data de Saída]],"mmm")))</f>
        <v>Nov</v>
      </c>
      <c r="J49" s="21" t="str">
        <f>IF(Tabela1[[#This Row],[Data de Saída]]="","",PROPER(TEXT(Tabela1[[#This Row],[Data de Saída]],"aaaa")))</f>
        <v>2019</v>
      </c>
      <c r="K49" s="27" t="str">
        <f>IF(Tabela1[[#This Row],[Data Admissão]]="","",PROPER(TEXT(Tabela1[[#This Row],[Data Admissão]],"mmm")))</f>
        <v>Ago</v>
      </c>
      <c r="L49" s="21" t="str">
        <f>IF(Tabela1[[#This Row],[Data Admissão]]="","",PROPER(TEXT(Tabela1[[#This Row],[Data Admissão]],"aaaa")))</f>
        <v>2019</v>
      </c>
      <c r="M49" s="12" t="s">
        <v>598</v>
      </c>
      <c r="N49" s="22" t="str">
        <f>IFERROR(IF(Tabela1[[#This Row],[Data de Saída]]="","ATIVO","-"),"-")</f>
        <v>-</v>
      </c>
    </row>
    <row r="50" spans="5:14" ht="24.95" customHeight="1" x14ac:dyDescent="0.2">
      <c r="E50" s="26" t="s">
        <v>256</v>
      </c>
      <c r="F50" s="20">
        <v>36381</v>
      </c>
      <c r="G50" s="20">
        <v>43698</v>
      </c>
      <c r="H50" s="12" t="s">
        <v>114</v>
      </c>
      <c r="I50" s="21" t="str">
        <f>IF(Tabela1[[#This Row],[Data de Saída]]="","",PROPER(TEXT(Tabela1[[#This Row],[Data de Saída]],"mmm")))</f>
        <v>Set</v>
      </c>
      <c r="J50" s="21" t="str">
        <f>IF(Tabela1[[#This Row],[Data de Saída]]="","",PROPER(TEXT(Tabela1[[#This Row],[Data de Saída]],"aaaa")))</f>
        <v>2022</v>
      </c>
      <c r="K50" s="27" t="str">
        <f>IF(Tabela1[[#This Row],[Data Admissão]]="","",PROPER(TEXT(Tabela1[[#This Row],[Data Admissão]],"mmm")))</f>
        <v>Ago</v>
      </c>
      <c r="L50" s="21" t="str">
        <f>IF(Tabela1[[#This Row],[Data Admissão]]="","",PROPER(TEXT(Tabela1[[#This Row],[Data Admissão]],"aaaa")))</f>
        <v>2019</v>
      </c>
      <c r="M50" s="12" t="s">
        <v>599</v>
      </c>
      <c r="N50" s="22" t="str">
        <f>IFERROR(IF(Tabela1[[#This Row],[Data de Saída]]="","ATIVO","-"),"-")</f>
        <v>-</v>
      </c>
    </row>
    <row r="51" spans="5:14" ht="24.95" customHeight="1" x14ac:dyDescent="0.2">
      <c r="E51" s="26" t="s">
        <v>257</v>
      </c>
      <c r="F51" s="20">
        <v>33220</v>
      </c>
      <c r="G51" s="20">
        <v>43699</v>
      </c>
      <c r="H51" s="12" t="s">
        <v>68</v>
      </c>
      <c r="I51" s="21" t="str">
        <f>IF(Tabela1[[#This Row],[Data de Saída]]="","",PROPER(TEXT(Tabela1[[#This Row],[Data de Saída]],"mmm")))</f>
        <v>Ago</v>
      </c>
      <c r="J51" s="21" t="str">
        <f>IF(Tabela1[[#This Row],[Data de Saída]]="","",PROPER(TEXT(Tabela1[[#This Row],[Data de Saída]],"aaaa")))</f>
        <v>2020</v>
      </c>
      <c r="K51" s="27" t="str">
        <f>IF(Tabela1[[#This Row],[Data Admissão]]="","",PROPER(TEXT(Tabela1[[#This Row],[Data Admissão]],"mmm")))</f>
        <v>Ago</v>
      </c>
      <c r="L51" s="21" t="str">
        <f>IF(Tabela1[[#This Row],[Data Admissão]]="","",PROPER(TEXT(Tabela1[[#This Row],[Data Admissão]],"aaaa")))</f>
        <v>2019</v>
      </c>
      <c r="M51" s="12" t="s">
        <v>599</v>
      </c>
      <c r="N51" s="22" t="str">
        <f>IFERROR(IF(Tabela1[[#This Row],[Data de Saída]]="","ATIVO","-"),"-")</f>
        <v>-</v>
      </c>
    </row>
    <row r="52" spans="5:14" ht="24.95" customHeight="1" x14ac:dyDescent="0.2">
      <c r="E52" s="26" t="s">
        <v>258</v>
      </c>
      <c r="F52" s="20">
        <v>35412</v>
      </c>
      <c r="G52" s="20">
        <v>43705</v>
      </c>
      <c r="H52" s="12" t="s">
        <v>13</v>
      </c>
      <c r="I52" s="21" t="str">
        <f>IF(Tabela1[[#This Row],[Data de Saída]]="","",PROPER(TEXT(Tabela1[[#This Row],[Data de Saída]],"mmm")))</f>
        <v>Jul</v>
      </c>
      <c r="J52" s="21" t="str">
        <f>IF(Tabela1[[#This Row],[Data de Saída]]="","",PROPER(TEXT(Tabela1[[#This Row],[Data de Saída]],"aaaa")))</f>
        <v>2020</v>
      </c>
      <c r="K52" s="27" t="str">
        <f>IF(Tabela1[[#This Row],[Data Admissão]]="","",PROPER(TEXT(Tabela1[[#This Row],[Data Admissão]],"mmm")))</f>
        <v>Ago</v>
      </c>
      <c r="L52" s="21" t="str">
        <f>IF(Tabela1[[#This Row],[Data Admissão]]="","",PROPER(TEXT(Tabela1[[#This Row],[Data Admissão]],"aaaa")))</f>
        <v>2019</v>
      </c>
      <c r="M52" s="12" t="s">
        <v>599</v>
      </c>
      <c r="N52" s="22" t="str">
        <f>IFERROR(IF(Tabela1[[#This Row],[Data de Saída]]="","ATIVO","-"),"-")</f>
        <v>-</v>
      </c>
    </row>
    <row r="53" spans="5:14" ht="24.95" customHeight="1" x14ac:dyDescent="0.2">
      <c r="E53" s="26" t="s">
        <v>259</v>
      </c>
      <c r="F53" s="20">
        <v>28203</v>
      </c>
      <c r="G53" s="20">
        <v>43705</v>
      </c>
      <c r="H53" s="12"/>
      <c r="I53" s="21" t="str">
        <f>IF(Tabela1[[#This Row],[Data de Saída]]="","",PROPER(TEXT(Tabela1[[#This Row],[Data de Saída]],"mmm")))</f>
        <v/>
      </c>
      <c r="J53" s="21" t="str">
        <f>IF(Tabela1[[#This Row],[Data de Saída]]="","",PROPER(TEXT(Tabela1[[#This Row],[Data de Saída]],"aaaa")))</f>
        <v/>
      </c>
      <c r="K53" s="27" t="str">
        <f>IF(Tabela1[[#This Row],[Data Admissão]]="","",PROPER(TEXT(Tabela1[[#This Row],[Data Admissão]],"mmm")))</f>
        <v>Ago</v>
      </c>
      <c r="L53" s="21" t="str">
        <f>IF(Tabela1[[#This Row],[Data Admissão]]="","",PROPER(TEXT(Tabela1[[#This Row],[Data Admissão]],"aaaa")))</f>
        <v>2019</v>
      </c>
      <c r="M53" s="12" t="s">
        <v>599</v>
      </c>
      <c r="N53" s="22" t="str">
        <f>IFERROR(IF(Tabela1[[#This Row],[Data de Saída]]="","ATIVO","-"),"-")</f>
        <v>ATIVO</v>
      </c>
    </row>
    <row r="54" spans="5:14" ht="24.95" customHeight="1" x14ac:dyDescent="0.2">
      <c r="E54" s="26" t="s">
        <v>260</v>
      </c>
      <c r="F54" s="20">
        <v>35289</v>
      </c>
      <c r="G54" s="20">
        <v>43705</v>
      </c>
      <c r="H54" s="12" t="s">
        <v>35</v>
      </c>
      <c r="I54" s="21" t="str">
        <f>IF(Tabela1[[#This Row],[Data de Saída]]="","",PROPER(TEXT(Tabela1[[#This Row],[Data de Saída]],"mmm")))</f>
        <v>Fev</v>
      </c>
      <c r="J54" s="21" t="str">
        <f>IF(Tabela1[[#This Row],[Data de Saída]]="","",PROPER(TEXT(Tabela1[[#This Row],[Data de Saída]],"aaaa")))</f>
        <v>2020</v>
      </c>
      <c r="K54" s="27" t="str">
        <f>IF(Tabela1[[#This Row],[Data Admissão]]="","",PROPER(TEXT(Tabela1[[#This Row],[Data Admissão]],"mmm")))</f>
        <v>Ago</v>
      </c>
      <c r="L54" s="21" t="str">
        <f>IF(Tabela1[[#This Row],[Data Admissão]]="","",PROPER(TEXT(Tabela1[[#This Row],[Data Admissão]],"aaaa")))</f>
        <v>2019</v>
      </c>
      <c r="M54" s="12" t="s">
        <v>600</v>
      </c>
      <c r="N54" s="22" t="str">
        <f>IFERROR(IF(Tabela1[[#This Row],[Data de Saída]]="","ATIVO","-"),"-")</f>
        <v>-</v>
      </c>
    </row>
    <row r="55" spans="5:14" ht="24.95" customHeight="1" x14ac:dyDescent="0.2">
      <c r="E55" s="26" t="s">
        <v>261</v>
      </c>
      <c r="F55" s="20">
        <v>35682</v>
      </c>
      <c r="G55" s="20">
        <v>43705</v>
      </c>
      <c r="H55" s="12" t="s">
        <v>45</v>
      </c>
      <c r="I55" s="21" t="str">
        <f>IF(Tabela1[[#This Row],[Data de Saída]]="","",PROPER(TEXT(Tabela1[[#This Row],[Data de Saída]],"mmm")))</f>
        <v>Dez</v>
      </c>
      <c r="J55" s="21" t="str">
        <f>IF(Tabela1[[#This Row],[Data de Saída]]="","",PROPER(TEXT(Tabela1[[#This Row],[Data de Saída]],"aaaa")))</f>
        <v>2019</v>
      </c>
      <c r="K55" s="27" t="str">
        <f>IF(Tabela1[[#This Row],[Data Admissão]]="","",PROPER(TEXT(Tabela1[[#This Row],[Data Admissão]],"mmm")))</f>
        <v>Ago</v>
      </c>
      <c r="L55" s="21" t="str">
        <f>IF(Tabela1[[#This Row],[Data Admissão]]="","",PROPER(TEXT(Tabela1[[#This Row],[Data Admissão]],"aaaa")))</f>
        <v>2019</v>
      </c>
      <c r="M55" s="12" t="s">
        <v>601</v>
      </c>
      <c r="N55" s="22" t="str">
        <f>IFERROR(IF(Tabela1[[#This Row],[Data de Saída]]="","ATIVO","-"),"-")</f>
        <v>-</v>
      </c>
    </row>
    <row r="56" spans="5:14" ht="24.95" customHeight="1" x14ac:dyDescent="0.2">
      <c r="E56" s="26" t="s">
        <v>262</v>
      </c>
      <c r="F56" s="20">
        <v>35991</v>
      </c>
      <c r="G56" s="20">
        <v>43705</v>
      </c>
      <c r="H56" s="12" t="s">
        <v>37</v>
      </c>
      <c r="I56" s="21" t="str">
        <f>IF(Tabela1[[#This Row],[Data de Saída]]="","",PROPER(TEXT(Tabela1[[#This Row],[Data de Saída]],"mmm")))</f>
        <v>Out</v>
      </c>
      <c r="J56" s="21" t="str">
        <f>IF(Tabela1[[#This Row],[Data de Saída]]="","",PROPER(TEXT(Tabela1[[#This Row],[Data de Saída]],"aaaa")))</f>
        <v>2019</v>
      </c>
      <c r="K56" s="27" t="str">
        <f>IF(Tabela1[[#This Row],[Data Admissão]]="","",PROPER(TEXT(Tabela1[[#This Row],[Data Admissão]],"mmm")))</f>
        <v>Ago</v>
      </c>
      <c r="L56" s="21" t="str">
        <f>IF(Tabela1[[#This Row],[Data Admissão]]="","",PROPER(TEXT(Tabela1[[#This Row],[Data Admissão]],"aaaa")))</f>
        <v>2019</v>
      </c>
      <c r="M56" s="12" t="s">
        <v>602</v>
      </c>
      <c r="N56" s="22" t="str">
        <f>IFERROR(IF(Tabela1[[#This Row],[Data de Saída]]="","ATIVO","-"),"-")</f>
        <v>-</v>
      </c>
    </row>
    <row r="57" spans="5:14" ht="24.95" customHeight="1" x14ac:dyDescent="0.2">
      <c r="E57" s="26" t="s">
        <v>263</v>
      </c>
      <c r="F57" s="20">
        <v>35874</v>
      </c>
      <c r="G57" s="20">
        <v>43705</v>
      </c>
      <c r="H57" s="12" t="s">
        <v>145</v>
      </c>
      <c r="I57" s="21" t="str">
        <f>IF(Tabela1[[#This Row],[Data de Saída]]="","",PROPER(TEXT(Tabela1[[#This Row],[Data de Saída]],"mmm")))</f>
        <v>Set</v>
      </c>
      <c r="J57" s="21" t="str">
        <f>IF(Tabela1[[#This Row],[Data de Saída]]="","",PROPER(TEXT(Tabela1[[#This Row],[Data de Saída]],"aaaa")))</f>
        <v>2019</v>
      </c>
      <c r="K57" s="27" t="str">
        <f>IF(Tabela1[[#This Row],[Data Admissão]]="","",PROPER(TEXT(Tabela1[[#This Row],[Data Admissão]],"mmm")))</f>
        <v>Ago</v>
      </c>
      <c r="L57" s="21" t="str">
        <f>IF(Tabela1[[#This Row],[Data Admissão]]="","",PROPER(TEXT(Tabela1[[#This Row],[Data Admissão]],"aaaa")))</f>
        <v>2019</v>
      </c>
      <c r="M57" s="12" t="s">
        <v>594</v>
      </c>
      <c r="N57" s="22" t="str">
        <f>IFERROR(IF(Tabela1[[#This Row],[Data de Saída]]="","ATIVO","-"),"-")</f>
        <v>-</v>
      </c>
    </row>
    <row r="58" spans="5:14" ht="24.95" customHeight="1" x14ac:dyDescent="0.2">
      <c r="E58" s="26" t="s">
        <v>264</v>
      </c>
      <c r="F58" s="20">
        <v>35496</v>
      </c>
      <c r="G58" s="20">
        <v>43705</v>
      </c>
      <c r="H58" s="12" t="s">
        <v>167</v>
      </c>
      <c r="I58" s="21" t="str">
        <f>IF(Tabela1[[#This Row],[Data de Saída]]="","",PROPER(TEXT(Tabela1[[#This Row],[Data de Saída]],"mmm")))</f>
        <v>Mar</v>
      </c>
      <c r="J58" s="21" t="str">
        <f>IF(Tabela1[[#This Row],[Data de Saída]]="","",PROPER(TEXT(Tabela1[[#This Row],[Data de Saída]],"aaaa")))</f>
        <v>2021</v>
      </c>
      <c r="K58" s="27" t="str">
        <f>IF(Tabela1[[#This Row],[Data Admissão]]="","",PROPER(TEXT(Tabela1[[#This Row],[Data Admissão]],"mmm")))</f>
        <v>Ago</v>
      </c>
      <c r="L58" s="21" t="str">
        <f>IF(Tabela1[[#This Row],[Data Admissão]]="","",PROPER(TEXT(Tabela1[[#This Row],[Data Admissão]],"aaaa")))</f>
        <v>2019</v>
      </c>
      <c r="M58" s="12" t="s">
        <v>594</v>
      </c>
      <c r="N58" s="22" t="str">
        <f>IFERROR(IF(Tabela1[[#This Row],[Data de Saída]]="","ATIVO","-"),"-")</f>
        <v>-</v>
      </c>
    </row>
    <row r="59" spans="5:14" ht="24.95" customHeight="1" x14ac:dyDescent="0.2">
      <c r="E59" s="26" t="s">
        <v>265</v>
      </c>
      <c r="F59" s="20">
        <v>35754</v>
      </c>
      <c r="G59" s="20">
        <v>43705</v>
      </c>
      <c r="H59" s="12" t="s">
        <v>35</v>
      </c>
      <c r="I59" s="21" t="str">
        <f>IF(Tabela1[[#This Row],[Data de Saída]]="","",PROPER(TEXT(Tabela1[[#This Row],[Data de Saída]],"mmm")))</f>
        <v>Fev</v>
      </c>
      <c r="J59" s="21" t="str">
        <f>IF(Tabela1[[#This Row],[Data de Saída]]="","",PROPER(TEXT(Tabela1[[#This Row],[Data de Saída]],"aaaa")))</f>
        <v>2020</v>
      </c>
      <c r="K59" s="27" t="str">
        <f>IF(Tabela1[[#This Row],[Data Admissão]]="","",PROPER(TEXT(Tabela1[[#This Row],[Data Admissão]],"mmm")))</f>
        <v>Ago</v>
      </c>
      <c r="L59" s="21" t="str">
        <f>IF(Tabela1[[#This Row],[Data Admissão]]="","",PROPER(TEXT(Tabela1[[#This Row],[Data Admissão]],"aaaa")))</f>
        <v>2019</v>
      </c>
      <c r="M59" s="12" t="s">
        <v>595</v>
      </c>
      <c r="N59" s="22" t="str">
        <f>IFERROR(IF(Tabela1[[#This Row],[Data de Saída]]="","ATIVO","-"),"-")</f>
        <v>-</v>
      </c>
    </row>
    <row r="60" spans="5:14" ht="24.95" customHeight="1" x14ac:dyDescent="0.2">
      <c r="E60" s="26" t="s">
        <v>266</v>
      </c>
      <c r="F60" s="20">
        <v>36932</v>
      </c>
      <c r="G60" s="20">
        <v>43710</v>
      </c>
      <c r="H60" s="12" t="s">
        <v>37</v>
      </c>
      <c r="I60" s="21" t="str">
        <f>IF(Tabela1[[#This Row],[Data de Saída]]="","",PROPER(TEXT(Tabela1[[#This Row],[Data de Saída]],"mmm")))</f>
        <v>Out</v>
      </c>
      <c r="J60" s="21" t="str">
        <f>IF(Tabela1[[#This Row],[Data de Saída]]="","",PROPER(TEXT(Tabela1[[#This Row],[Data de Saída]],"aaaa")))</f>
        <v>2019</v>
      </c>
      <c r="K60" s="27" t="str">
        <f>IF(Tabela1[[#This Row],[Data Admissão]]="","",PROPER(TEXT(Tabela1[[#This Row],[Data Admissão]],"mmm")))</f>
        <v>Set</v>
      </c>
      <c r="L60" s="21" t="str">
        <f>IF(Tabela1[[#This Row],[Data Admissão]]="","",PROPER(TEXT(Tabela1[[#This Row],[Data Admissão]],"aaaa")))</f>
        <v>2019</v>
      </c>
      <c r="M60" s="12" t="s">
        <v>596</v>
      </c>
      <c r="N60" s="22" t="str">
        <f>IFERROR(IF(Tabela1[[#This Row],[Data de Saída]]="","ATIVO","-"),"-")</f>
        <v>-</v>
      </c>
    </row>
    <row r="61" spans="5:14" ht="24.95" customHeight="1" x14ac:dyDescent="0.2">
      <c r="E61" s="26" t="s">
        <v>267</v>
      </c>
      <c r="F61" s="20">
        <v>32943</v>
      </c>
      <c r="G61" s="20">
        <v>43710</v>
      </c>
      <c r="H61" s="12" t="s">
        <v>12</v>
      </c>
      <c r="I61" s="21" t="str">
        <f>IF(Tabela1[[#This Row],[Data de Saída]]="","",PROPER(TEXT(Tabela1[[#This Row],[Data de Saída]],"mmm")))</f>
        <v>Fev</v>
      </c>
      <c r="J61" s="21" t="str">
        <f>IF(Tabela1[[#This Row],[Data de Saída]]="","",PROPER(TEXT(Tabela1[[#This Row],[Data de Saída]],"aaaa")))</f>
        <v>2021</v>
      </c>
      <c r="K61" s="27" t="str">
        <f>IF(Tabela1[[#This Row],[Data Admissão]]="","",PROPER(TEXT(Tabela1[[#This Row],[Data Admissão]],"mmm")))</f>
        <v>Set</v>
      </c>
      <c r="L61" s="21" t="str">
        <f>IF(Tabela1[[#This Row],[Data Admissão]]="","",PROPER(TEXT(Tabela1[[#This Row],[Data Admissão]],"aaaa")))</f>
        <v>2019</v>
      </c>
      <c r="M61" s="12" t="s">
        <v>597</v>
      </c>
      <c r="N61" s="22" t="str">
        <f>IFERROR(IF(Tabela1[[#This Row],[Data de Saída]]="","ATIVO","-"),"-")</f>
        <v>-</v>
      </c>
    </row>
    <row r="62" spans="5:14" ht="24.95" customHeight="1" x14ac:dyDescent="0.2">
      <c r="E62" s="26" t="s">
        <v>268</v>
      </c>
      <c r="F62" s="20">
        <v>29398</v>
      </c>
      <c r="G62" s="20">
        <v>43710</v>
      </c>
      <c r="H62" s="12" t="s">
        <v>37</v>
      </c>
      <c r="I62" s="21" t="str">
        <f>IF(Tabela1[[#This Row],[Data de Saída]]="","",PROPER(TEXT(Tabela1[[#This Row],[Data de Saída]],"mmm")))</f>
        <v>Out</v>
      </c>
      <c r="J62" s="21" t="str">
        <f>IF(Tabela1[[#This Row],[Data de Saída]]="","",PROPER(TEXT(Tabela1[[#This Row],[Data de Saída]],"aaaa")))</f>
        <v>2019</v>
      </c>
      <c r="K62" s="27" t="str">
        <f>IF(Tabela1[[#This Row],[Data Admissão]]="","",PROPER(TEXT(Tabela1[[#This Row],[Data Admissão]],"mmm")))</f>
        <v>Set</v>
      </c>
      <c r="L62" s="21" t="str">
        <f>IF(Tabela1[[#This Row],[Data Admissão]]="","",PROPER(TEXT(Tabela1[[#This Row],[Data Admissão]],"aaaa")))</f>
        <v>2019</v>
      </c>
      <c r="M62" s="12" t="s">
        <v>598</v>
      </c>
      <c r="N62" s="22" t="str">
        <f>IFERROR(IF(Tabela1[[#This Row],[Data de Saída]]="","ATIVO","-"),"-")</f>
        <v>-</v>
      </c>
    </row>
    <row r="63" spans="5:14" ht="24.95" customHeight="1" x14ac:dyDescent="0.2">
      <c r="E63" s="26" t="s">
        <v>269</v>
      </c>
      <c r="F63" s="20">
        <v>35205</v>
      </c>
      <c r="G63" s="20">
        <v>43710</v>
      </c>
      <c r="H63" s="12" t="s">
        <v>103</v>
      </c>
      <c r="I63" s="21" t="str">
        <f>IF(Tabela1[[#This Row],[Data de Saída]]="","",PROPER(TEXT(Tabela1[[#This Row],[Data de Saída]],"mmm")))</f>
        <v>Set</v>
      </c>
      <c r="J63" s="21" t="str">
        <f>IF(Tabela1[[#This Row],[Data de Saída]]="","",PROPER(TEXT(Tabela1[[#This Row],[Data de Saída]],"aaaa")))</f>
        <v>2019</v>
      </c>
      <c r="K63" s="27" t="str">
        <f>IF(Tabela1[[#This Row],[Data Admissão]]="","",PROPER(TEXT(Tabela1[[#This Row],[Data Admissão]],"mmm")))</f>
        <v>Set</v>
      </c>
      <c r="L63" s="21" t="str">
        <f>IF(Tabela1[[#This Row],[Data Admissão]]="","",PROPER(TEXT(Tabela1[[#This Row],[Data Admissão]],"aaaa")))</f>
        <v>2019</v>
      </c>
      <c r="M63" s="12" t="s">
        <v>599</v>
      </c>
      <c r="N63" s="22" t="str">
        <f>IFERROR(IF(Tabela1[[#This Row],[Data de Saída]]="","ATIVO","-"),"-")</f>
        <v>-</v>
      </c>
    </row>
    <row r="64" spans="5:14" ht="24.95" customHeight="1" x14ac:dyDescent="0.2">
      <c r="E64" s="26" t="s">
        <v>270</v>
      </c>
      <c r="F64" s="20">
        <v>37178</v>
      </c>
      <c r="G64" s="20">
        <v>43710</v>
      </c>
      <c r="H64" s="12" t="s">
        <v>35</v>
      </c>
      <c r="I64" s="21" t="str">
        <f>IF(Tabela1[[#This Row],[Data de Saída]]="","",PROPER(TEXT(Tabela1[[#This Row],[Data de Saída]],"mmm")))</f>
        <v>Fev</v>
      </c>
      <c r="J64" s="21" t="str">
        <f>IF(Tabela1[[#This Row],[Data de Saída]]="","",PROPER(TEXT(Tabela1[[#This Row],[Data de Saída]],"aaaa")))</f>
        <v>2020</v>
      </c>
      <c r="K64" s="27" t="str">
        <f>IF(Tabela1[[#This Row],[Data Admissão]]="","",PROPER(TEXT(Tabela1[[#This Row],[Data Admissão]],"mmm")))</f>
        <v>Set</v>
      </c>
      <c r="L64" s="21" t="str">
        <f>IF(Tabela1[[#This Row],[Data Admissão]]="","",PROPER(TEXT(Tabela1[[#This Row],[Data Admissão]],"aaaa")))</f>
        <v>2019</v>
      </c>
      <c r="M64" s="12" t="s">
        <v>599</v>
      </c>
      <c r="N64" s="22" t="str">
        <f>IFERROR(IF(Tabela1[[#This Row],[Data de Saída]]="","ATIVO","-"),"-")</f>
        <v>-</v>
      </c>
    </row>
    <row r="65" spans="5:14" ht="24.95" customHeight="1" x14ac:dyDescent="0.2">
      <c r="E65" s="26" t="s">
        <v>271</v>
      </c>
      <c r="F65" s="20">
        <v>36277</v>
      </c>
      <c r="G65" s="20">
        <v>43710</v>
      </c>
      <c r="H65" s="12" t="s">
        <v>160</v>
      </c>
      <c r="I65" s="21" t="str">
        <f>IF(Tabela1[[#This Row],[Data de Saída]]="","",PROPER(TEXT(Tabela1[[#This Row],[Data de Saída]],"mmm")))</f>
        <v>Nov</v>
      </c>
      <c r="J65" s="21" t="str">
        <f>IF(Tabela1[[#This Row],[Data de Saída]]="","",PROPER(TEXT(Tabela1[[#This Row],[Data de Saída]],"aaaa")))</f>
        <v>2019</v>
      </c>
      <c r="K65" s="27" t="str">
        <f>IF(Tabela1[[#This Row],[Data Admissão]]="","",PROPER(TEXT(Tabela1[[#This Row],[Data Admissão]],"mmm")))</f>
        <v>Set</v>
      </c>
      <c r="L65" s="21" t="str">
        <f>IF(Tabela1[[#This Row],[Data Admissão]]="","",PROPER(TEXT(Tabela1[[#This Row],[Data Admissão]],"aaaa")))</f>
        <v>2019</v>
      </c>
      <c r="M65" s="12" t="s">
        <v>599</v>
      </c>
      <c r="N65" s="22" t="str">
        <f>IFERROR(IF(Tabela1[[#This Row],[Data de Saída]]="","ATIVO","-"),"-")</f>
        <v>-</v>
      </c>
    </row>
    <row r="66" spans="5:14" ht="24.95" customHeight="1" x14ac:dyDescent="0.2">
      <c r="E66" s="26" t="s">
        <v>272</v>
      </c>
      <c r="F66" s="20">
        <v>34551</v>
      </c>
      <c r="G66" s="20">
        <v>43731</v>
      </c>
      <c r="H66" s="12" t="s">
        <v>20</v>
      </c>
      <c r="I66" s="21" t="str">
        <f>IF(Tabela1[[#This Row],[Data de Saída]]="","",PROPER(TEXT(Tabela1[[#This Row],[Data de Saída]],"mmm")))</f>
        <v>Fev</v>
      </c>
      <c r="J66" s="21" t="str">
        <f>IF(Tabela1[[#This Row],[Data de Saída]]="","",PROPER(TEXT(Tabela1[[#This Row],[Data de Saída]],"aaaa")))</f>
        <v>2021</v>
      </c>
      <c r="K66" s="27" t="str">
        <f>IF(Tabela1[[#This Row],[Data Admissão]]="","",PROPER(TEXT(Tabela1[[#This Row],[Data Admissão]],"mmm")))</f>
        <v>Set</v>
      </c>
      <c r="L66" s="21" t="str">
        <f>IF(Tabela1[[#This Row],[Data Admissão]]="","",PROPER(TEXT(Tabela1[[#This Row],[Data Admissão]],"aaaa")))</f>
        <v>2019</v>
      </c>
      <c r="M66" s="12" t="s">
        <v>599</v>
      </c>
      <c r="N66" s="22" t="str">
        <f>IFERROR(IF(Tabela1[[#This Row],[Data de Saída]]="","ATIVO","-"),"-")</f>
        <v>-</v>
      </c>
    </row>
    <row r="67" spans="5:14" ht="24.95" customHeight="1" x14ac:dyDescent="0.2">
      <c r="E67" s="26" t="s">
        <v>273</v>
      </c>
      <c r="F67" s="20">
        <v>33207</v>
      </c>
      <c r="G67" s="20">
        <v>43731</v>
      </c>
      <c r="H67" s="12" t="s">
        <v>42</v>
      </c>
      <c r="I67" s="21" t="str">
        <f>IF(Tabela1[[#This Row],[Data de Saída]]="","",PROPER(TEXT(Tabela1[[#This Row],[Data de Saída]],"mmm")))</f>
        <v>Mar</v>
      </c>
      <c r="J67" s="21" t="str">
        <f>IF(Tabela1[[#This Row],[Data de Saída]]="","",PROPER(TEXT(Tabela1[[#This Row],[Data de Saída]],"aaaa")))</f>
        <v>2021</v>
      </c>
      <c r="K67" s="27" t="str">
        <f>IF(Tabela1[[#This Row],[Data Admissão]]="","",PROPER(TEXT(Tabela1[[#This Row],[Data Admissão]],"mmm")))</f>
        <v>Set</v>
      </c>
      <c r="L67" s="21" t="str">
        <f>IF(Tabela1[[#This Row],[Data Admissão]]="","",PROPER(TEXT(Tabela1[[#This Row],[Data Admissão]],"aaaa")))</f>
        <v>2019</v>
      </c>
      <c r="M67" s="12" t="s">
        <v>600</v>
      </c>
      <c r="N67" s="22" t="str">
        <f>IFERROR(IF(Tabela1[[#This Row],[Data de Saída]]="","ATIVO","-"),"-")</f>
        <v>-</v>
      </c>
    </row>
    <row r="68" spans="5:14" ht="24.95" customHeight="1" x14ac:dyDescent="0.2">
      <c r="E68" s="26" t="s">
        <v>274</v>
      </c>
      <c r="F68" s="20">
        <v>35063</v>
      </c>
      <c r="G68" s="20">
        <v>43731</v>
      </c>
      <c r="H68" s="12" t="s">
        <v>35</v>
      </c>
      <c r="I68" s="21" t="str">
        <f>IF(Tabela1[[#This Row],[Data de Saída]]="","",PROPER(TEXT(Tabela1[[#This Row],[Data de Saída]],"mmm")))</f>
        <v>Fev</v>
      </c>
      <c r="J68" s="21" t="str">
        <f>IF(Tabela1[[#This Row],[Data de Saída]]="","",PROPER(TEXT(Tabela1[[#This Row],[Data de Saída]],"aaaa")))</f>
        <v>2020</v>
      </c>
      <c r="K68" s="27" t="str">
        <f>IF(Tabela1[[#This Row],[Data Admissão]]="","",PROPER(TEXT(Tabela1[[#This Row],[Data Admissão]],"mmm")))</f>
        <v>Set</v>
      </c>
      <c r="L68" s="21" t="str">
        <f>IF(Tabela1[[#This Row],[Data Admissão]]="","",PROPER(TEXT(Tabela1[[#This Row],[Data Admissão]],"aaaa")))</f>
        <v>2019</v>
      </c>
      <c r="M68" s="12" t="s">
        <v>601</v>
      </c>
      <c r="N68" s="22" t="str">
        <f>IFERROR(IF(Tabela1[[#This Row],[Data de Saída]]="","ATIVO","-"),"-")</f>
        <v>-</v>
      </c>
    </row>
    <row r="69" spans="5:14" ht="24.95" customHeight="1" x14ac:dyDescent="0.2">
      <c r="E69" s="26" t="s">
        <v>275</v>
      </c>
      <c r="F69" s="20">
        <v>34801</v>
      </c>
      <c r="G69" s="20">
        <v>43731</v>
      </c>
      <c r="H69" s="12" t="s">
        <v>35</v>
      </c>
      <c r="I69" s="21" t="str">
        <f>IF(Tabela1[[#This Row],[Data de Saída]]="","",PROPER(TEXT(Tabela1[[#This Row],[Data de Saída]],"mmm")))</f>
        <v>Fev</v>
      </c>
      <c r="J69" s="21" t="str">
        <f>IF(Tabela1[[#This Row],[Data de Saída]]="","",PROPER(TEXT(Tabela1[[#This Row],[Data de Saída]],"aaaa")))</f>
        <v>2020</v>
      </c>
      <c r="K69" s="27" t="str">
        <f>IF(Tabela1[[#This Row],[Data Admissão]]="","",PROPER(TEXT(Tabela1[[#This Row],[Data Admissão]],"mmm")))</f>
        <v>Set</v>
      </c>
      <c r="L69" s="21" t="str">
        <f>IF(Tabela1[[#This Row],[Data Admissão]]="","",PROPER(TEXT(Tabela1[[#This Row],[Data Admissão]],"aaaa")))</f>
        <v>2019</v>
      </c>
      <c r="M69" s="12" t="s">
        <v>602</v>
      </c>
      <c r="N69" s="22" t="str">
        <f>IFERROR(IF(Tabela1[[#This Row],[Data de Saída]]="","ATIVO","-"),"-")</f>
        <v>-</v>
      </c>
    </row>
    <row r="70" spans="5:14" ht="24.95" customHeight="1" x14ac:dyDescent="0.2">
      <c r="E70" s="26" t="s">
        <v>276</v>
      </c>
      <c r="F70" s="20">
        <v>33617</v>
      </c>
      <c r="G70" s="20">
        <v>43731</v>
      </c>
      <c r="H70" s="12"/>
      <c r="I70" s="21" t="str">
        <f>IF(Tabela1[[#This Row],[Data de Saída]]="","",PROPER(TEXT(Tabela1[[#This Row],[Data de Saída]],"mmm")))</f>
        <v/>
      </c>
      <c r="J70" s="21" t="str">
        <f>IF(Tabela1[[#This Row],[Data de Saída]]="","",PROPER(TEXT(Tabela1[[#This Row],[Data de Saída]],"aaaa")))</f>
        <v/>
      </c>
      <c r="K70" s="27" t="str">
        <f>IF(Tabela1[[#This Row],[Data Admissão]]="","",PROPER(TEXT(Tabela1[[#This Row],[Data Admissão]],"mmm")))</f>
        <v>Set</v>
      </c>
      <c r="L70" s="21" t="str">
        <f>IF(Tabela1[[#This Row],[Data Admissão]]="","",PROPER(TEXT(Tabela1[[#This Row],[Data Admissão]],"aaaa")))</f>
        <v>2019</v>
      </c>
      <c r="M70" s="12" t="s">
        <v>594</v>
      </c>
      <c r="N70" s="22" t="str">
        <f>IFERROR(IF(Tabela1[[#This Row],[Data de Saída]]="","ATIVO","-"),"-")</f>
        <v>ATIVO</v>
      </c>
    </row>
    <row r="71" spans="5:14" ht="24.95" customHeight="1" x14ac:dyDescent="0.2">
      <c r="E71" s="26" t="s">
        <v>277</v>
      </c>
      <c r="F71" s="20">
        <v>29046</v>
      </c>
      <c r="G71" s="20">
        <v>43770</v>
      </c>
      <c r="H71" s="12" t="s">
        <v>58</v>
      </c>
      <c r="I71" s="21" t="str">
        <f>IF(Tabela1[[#This Row],[Data de Saída]]="","",PROPER(TEXT(Tabela1[[#This Row],[Data de Saída]],"mmm")))</f>
        <v>Mai</v>
      </c>
      <c r="J71" s="21" t="str">
        <f>IF(Tabela1[[#This Row],[Data de Saída]]="","",PROPER(TEXT(Tabela1[[#This Row],[Data de Saída]],"aaaa")))</f>
        <v>2021</v>
      </c>
      <c r="K71" s="27" t="str">
        <f>IF(Tabela1[[#This Row],[Data Admissão]]="","",PROPER(TEXT(Tabela1[[#This Row],[Data Admissão]],"mmm")))</f>
        <v>Nov</v>
      </c>
      <c r="L71" s="21" t="str">
        <f>IF(Tabela1[[#This Row],[Data Admissão]]="","",PROPER(TEXT(Tabela1[[#This Row],[Data Admissão]],"aaaa")))</f>
        <v>2019</v>
      </c>
      <c r="M71" s="12" t="s">
        <v>594</v>
      </c>
      <c r="N71" s="22" t="str">
        <f>IFERROR(IF(Tabela1[[#This Row],[Data de Saída]]="","ATIVO","-"),"-")</f>
        <v>-</v>
      </c>
    </row>
    <row r="72" spans="5:14" ht="24.95" customHeight="1" x14ac:dyDescent="0.2">
      <c r="E72" s="26" t="s">
        <v>278</v>
      </c>
      <c r="F72" s="20">
        <v>25341</v>
      </c>
      <c r="G72" s="20">
        <v>43770</v>
      </c>
      <c r="H72" s="12" t="s">
        <v>151</v>
      </c>
      <c r="I72" s="21" t="str">
        <f>IF(Tabela1[[#This Row],[Data de Saída]]="","",PROPER(TEXT(Tabela1[[#This Row],[Data de Saída]],"mmm")))</f>
        <v>Mai</v>
      </c>
      <c r="J72" s="21" t="str">
        <f>IF(Tabela1[[#This Row],[Data de Saída]]="","",PROPER(TEXT(Tabela1[[#This Row],[Data de Saída]],"aaaa")))</f>
        <v>2020</v>
      </c>
      <c r="K72" s="27" t="str">
        <f>IF(Tabela1[[#This Row],[Data Admissão]]="","",PROPER(TEXT(Tabela1[[#This Row],[Data Admissão]],"mmm")))</f>
        <v>Nov</v>
      </c>
      <c r="L72" s="21" t="str">
        <f>IF(Tabela1[[#This Row],[Data Admissão]]="","",PROPER(TEXT(Tabela1[[#This Row],[Data Admissão]],"aaaa")))</f>
        <v>2019</v>
      </c>
      <c r="M72" s="12" t="s">
        <v>595</v>
      </c>
      <c r="N72" s="22" t="str">
        <f>IFERROR(IF(Tabela1[[#This Row],[Data de Saída]]="","ATIVO","-"),"-")</f>
        <v>-</v>
      </c>
    </row>
    <row r="73" spans="5:14" ht="24.95" customHeight="1" x14ac:dyDescent="0.2">
      <c r="E73" s="26" t="s">
        <v>279</v>
      </c>
      <c r="F73" s="20">
        <v>29299</v>
      </c>
      <c r="G73" s="20">
        <v>43815</v>
      </c>
      <c r="H73" s="12" t="s">
        <v>5</v>
      </c>
      <c r="I73" s="21" t="str">
        <f>IF(Tabela1[[#This Row],[Data de Saída]]="","",PROPER(TEXT(Tabela1[[#This Row],[Data de Saída]],"mmm")))</f>
        <v>Mar</v>
      </c>
      <c r="J73" s="21" t="str">
        <f>IF(Tabela1[[#This Row],[Data de Saída]]="","",PROPER(TEXT(Tabela1[[#This Row],[Data de Saída]],"aaaa")))</f>
        <v>2021</v>
      </c>
      <c r="K73" s="27" t="str">
        <f>IF(Tabela1[[#This Row],[Data Admissão]]="","",PROPER(TEXT(Tabela1[[#This Row],[Data Admissão]],"mmm")))</f>
        <v>Dez</v>
      </c>
      <c r="L73" s="21" t="str">
        <f>IF(Tabela1[[#This Row],[Data Admissão]]="","",PROPER(TEXT(Tabela1[[#This Row],[Data Admissão]],"aaaa")))</f>
        <v>2019</v>
      </c>
      <c r="M73" s="12" t="s">
        <v>596</v>
      </c>
      <c r="N73" s="22" t="str">
        <f>IFERROR(IF(Tabela1[[#This Row],[Data de Saída]]="","ATIVO","-"),"-")</f>
        <v>-</v>
      </c>
    </row>
    <row r="74" spans="5:14" ht="24.95" customHeight="1" x14ac:dyDescent="0.2">
      <c r="E74" s="26" t="s">
        <v>280</v>
      </c>
      <c r="F74" s="20">
        <v>31495</v>
      </c>
      <c r="G74" s="20">
        <v>43815</v>
      </c>
      <c r="H74" s="12" t="s">
        <v>8</v>
      </c>
      <c r="I74" s="21" t="str">
        <f>IF(Tabela1[[#This Row],[Data de Saída]]="","",PROPER(TEXT(Tabela1[[#This Row],[Data de Saída]],"mmm")))</f>
        <v>Mar</v>
      </c>
      <c r="J74" s="21" t="str">
        <f>IF(Tabela1[[#This Row],[Data de Saída]]="","",PROPER(TEXT(Tabela1[[#This Row],[Data de Saída]],"aaaa")))</f>
        <v>2021</v>
      </c>
      <c r="K74" s="27" t="str">
        <f>IF(Tabela1[[#This Row],[Data Admissão]]="","",PROPER(TEXT(Tabela1[[#This Row],[Data Admissão]],"mmm")))</f>
        <v>Dez</v>
      </c>
      <c r="L74" s="21" t="str">
        <f>IF(Tabela1[[#This Row],[Data Admissão]]="","",PROPER(TEXT(Tabela1[[#This Row],[Data Admissão]],"aaaa")))</f>
        <v>2019</v>
      </c>
      <c r="M74" s="12" t="s">
        <v>597</v>
      </c>
      <c r="N74" s="22" t="str">
        <f>IFERROR(IF(Tabela1[[#This Row],[Data de Saída]]="","ATIVO","-"),"-")</f>
        <v>-</v>
      </c>
    </row>
    <row r="75" spans="5:14" ht="24.95" customHeight="1" x14ac:dyDescent="0.2">
      <c r="E75" s="26" t="s">
        <v>281</v>
      </c>
      <c r="F75" s="20">
        <v>36916</v>
      </c>
      <c r="G75" s="20">
        <v>43815</v>
      </c>
      <c r="H75" s="12" t="s">
        <v>12</v>
      </c>
      <c r="I75" s="21" t="str">
        <f>IF(Tabela1[[#This Row],[Data de Saída]]="","",PROPER(TEXT(Tabela1[[#This Row],[Data de Saída]],"mmm")))</f>
        <v>Fev</v>
      </c>
      <c r="J75" s="21" t="str">
        <f>IF(Tabela1[[#This Row],[Data de Saída]]="","",PROPER(TEXT(Tabela1[[#This Row],[Data de Saída]],"aaaa")))</f>
        <v>2021</v>
      </c>
      <c r="K75" s="27" t="str">
        <f>IF(Tabela1[[#This Row],[Data Admissão]]="","",PROPER(TEXT(Tabela1[[#This Row],[Data Admissão]],"mmm")))</f>
        <v>Dez</v>
      </c>
      <c r="L75" s="21" t="str">
        <f>IF(Tabela1[[#This Row],[Data Admissão]]="","",PROPER(TEXT(Tabela1[[#This Row],[Data Admissão]],"aaaa")))</f>
        <v>2019</v>
      </c>
      <c r="M75" s="12" t="s">
        <v>598</v>
      </c>
      <c r="N75" s="22" t="str">
        <f>IFERROR(IF(Tabela1[[#This Row],[Data de Saída]]="","ATIVO","-"),"-")</f>
        <v>-</v>
      </c>
    </row>
    <row r="76" spans="5:14" ht="24.95" customHeight="1" x14ac:dyDescent="0.2">
      <c r="E76" s="26" t="s">
        <v>282</v>
      </c>
      <c r="F76" s="20">
        <v>36945</v>
      </c>
      <c r="G76" s="20">
        <v>43815</v>
      </c>
      <c r="H76" s="12" t="s">
        <v>20</v>
      </c>
      <c r="I76" s="21" t="str">
        <f>IF(Tabela1[[#This Row],[Data de Saída]]="","",PROPER(TEXT(Tabela1[[#This Row],[Data de Saída]],"mmm")))</f>
        <v>Fev</v>
      </c>
      <c r="J76" s="21" t="str">
        <f>IF(Tabela1[[#This Row],[Data de Saída]]="","",PROPER(TEXT(Tabela1[[#This Row],[Data de Saída]],"aaaa")))</f>
        <v>2021</v>
      </c>
      <c r="K76" s="27" t="str">
        <f>IF(Tabela1[[#This Row],[Data Admissão]]="","",PROPER(TEXT(Tabela1[[#This Row],[Data Admissão]],"mmm")))</f>
        <v>Dez</v>
      </c>
      <c r="L76" s="21" t="str">
        <f>IF(Tabela1[[#This Row],[Data Admissão]]="","",PROPER(TEXT(Tabela1[[#This Row],[Data Admissão]],"aaaa")))</f>
        <v>2019</v>
      </c>
      <c r="M76" s="12" t="s">
        <v>599</v>
      </c>
      <c r="N76" s="22" t="str">
        <f>IFERROR(IF(Tabela1[[#This Row],[Data de Saída]]="","ATIVO","-"),"-")</f>
        <v>-</v>
      </c>
    </row>
    <row r="77" spans="5:14" ht="24.95" customHeight="1" x14ac:dyDescent="0.2">
      <c r="E77" s="26" t="s">
        <v>283</v>
      </c>
      <c r="F77" s="20">
        <v>35272</v>
      </c>
      <c r="G77" s="20">
        <v>43815</v>
      </c>
      <c r="H77" s="12" t="s">
        <v>29</v>
      </c>
      <c r="I77" s="21" t="str">
        <f>IF(Tabela1[[#This Row],[Data de Saída]]="","",PROPER(TEXT(Tabela1[[#This Row],[Data de Saída]],"mmm")))</f>
        <v>Jan</v>
      </c>
      <c r="J77" s="21" t="str">
        <f>IF(Tabela1[[#This Row],[Data de Saída]]="","",PROPER(TEXT(Tabela1[[#This Row],[Data de Saída]],"aaaa")))</f>
        <v>2020</v>
      </c>
      <c r="K77" s="27" t="str">
        <f>IF(Tabela1[[#This Row],[Data Admissão]]="","",PROPER(TEXT(Tabela1[[#This Row],[Data Admissão]],"mmm")))</f>
        <v>Dez</v>
      </c>
      <c r="L77" s="21" t="str">
        <f>IF(Tabela1[[#This Row],[Data Admissão]]="","",PROPER(TEXT(Tabela1[[#This Row],[Data Admissão]],"aaaa")))</f>
        <v>2019</v>
      </c>
      <c r="M77" s="12" t="s">
        <v>599</v>
      </c>
      <c r="N77" s="22" t="str">
        <f>IFERROR(IF(Tabela1[[#This Row],[Data de Saída]]="","ATIVO","-"),"-")</f>
        <v>-</v>
      </c>
    </row>
    <row r="78" spans="5:14" ht="24.95" customHeight="1" x14ac:dyDescent="0.2">
      <c r="E78" s="26" t="s">
        <v>284</v>
      </c>
      <c r="F78" s="20">
        <v>35567</v>
      </c>
      <c r="G78" s="20">
        <v>43815</v>
      </c>
      <c r="H78" s="12" t="s">
        <v>31</v>
      </c>
      <c r="I78" s="21" t="str">
        <f>IF(Tabela1[[#This Row],[Data de Saída]]="","",PROPER(TEXT(Tabela1[[#This Row],[Data de Saída]],"mmm")))</f>
        <v>Set</v>
      </c>
      <c r="J78" s="21" t="str">
        <f>IF(Tabela1[[#This Row],[Data de Saída]]="","",PROPER(TEXT(Tabela1[[#This Row],[Data de Saída]],"aaaa")))</f>
        <v>2021</v>
      </c>
      <c r="K78" s="27" t="str">
        <f>IF(Tabela1[[#This Row],[Data Admissão]]="","",PROPER(TEXT(Tabela1[[#This Row],[Data Admissão]],"mmm")))</f>
        <v>Dez</v>
      </c>
      <c r="L78" s="21" t="str">
        <f>IF(Tabela1[[#This Row],[Data Admissão]]="","",PROPER(TEXT(Tabela1[[#This Row],[Data Admissão]],"aaaa")))</f>
        <v>2019</v>
      </c>
      <c r="M78" s="12" t="s">
        <v>599</v>
      </c>
      <c r="N78" s="22" t="str">
        <f>IFERROR(IF(Tabela1[[#This Row],[Data de Saída]]="","ATIVO","-"),"-")</f>
        <v>-</v>
      </c>
    </row>
    <row r="79" spans="5:14" ht="24.95" customHeight="1" x14ac:dyDescent="0.2">
      <c r="E79" s="26" t="s">
        <v>285</v>
      </c>
      <c r="F79" s="20">
        <v>34785</v>
      </c>
      <c r="G79" s="20">
        <v>43815</v>
      </c>
      <c r="H79" s="12" t="s">
        <v>29</v>
      </c>
      <c r="I79" s="21" t="str">
        <f>IF(Tabela1[[#This Row],[Data de Saída]]="","",PROPER(TEXT(Tabela1[[#This Row],[Data de Saída]],"mmm")))</f>
        <v>Jan</v>
      </c>
      <c r="J79" s="21" t="str">
        <f>IF(Tabela1[[#This Row],[Data de Saída]]="","",PROPER(TEXT(Tabela1[[#This Row],[Data de Saída]],"aaaa")))</f>
        <v>2020</v>
      </c>
      <c r="K79" s="27" t="str">
        <f>IF(Tabela1[[#This Row],[Data Admissão]]="","",PROPER(TEXT(Tabela1[[#This Row],[Data Admissão]],"mmm")))</f>
        <v>Dez</v>
      </c>
      <c r="L79" s="21" t="str">
        <f>IF(Tabela1[[#This Row],[Data Admissão]]="","",PROPER(TEXT(Tabela1[[#This Row],[Data Admissão]],"aaaa")))</f>
        <v>2019</v>
      </c>
      <c r="M79" s="12" t="s">
        <v>599</v>
      </c>
      <c r="N79" s="22" t="str">
        <f>IFERROR(IF(Tabela1[[#This Row],[Data de Saída]]="","ATIVO","-"),"-")</f>
        <v>-</v>
      </c>
    </row>
    <row r="80" spans="5:14" ht="24.95" customHeight="1" x14ac:dyDescent="0.2">
      <c r="E80" s="26" t="s">
        <v>286</v>
      </c>
      <c r="F80" s="20">
        <v>29031</v>
      </c>
      <c r="G80" s="20">
        <v>43815</v>
      </c>
      <c r="H80" s="12" t="s">
        <v>29</v>
      </c>
      <c r="I80" s="21" t="str">
        <f>IF(Tabela1[[#This Row],[Data de Saída]]="","",PROPER(TEXT(Tabela1[[#This Row],[Data de Saída]],"mmm")))</f>
        <v>Jan</v>
      </c>
      <c r="J80" s="21" t="str">
        <f>IF(Tabela1[[#This Row],[Data de Saída]]="","",PROPER(TEXT(Tabela1[[#This Row],[Data de Saída]],"aaaa")))</f>
        <v>2020</v>
      </c>
      <c r="K80" s="27" t="str">
        <f>IF(Tabela1[[#This Row],[Data Admissão]]="","",PROPER(TEXT(Tabela1[[#This Row],[Data Admissão]],"mmm")))</f>
        <v>Dez</v>
      </c>
      <c r="L80" s="21" t="str">
        <f>IF(Tabela1[[#This Row],[Data Admissão]]="","",PROPER(TEXT(Tabela1[[#This Row],[Data Admissão]],"aaaa")))</f>
        <v>2019</v>
      </c>
      <c r="M80" s="12" t="s">
        <v>600</v>
      </c>
      <c r="N80" s="22" t="str">
        <f>IFERROR(IF(Tabela1[[#This Row],[Data de Saída]]="","ATIVO","-"),"-")</f>
        <v>-</v>
      </c>
    </row>
    <row r="81" spans="5:14" ht="24.95" customHeight="1" x14ac:dyDescent="0.2">
      <c r="E81" s="26" t="s">
        <v>287</v>
      </c>
      <c r="F81" s="20">
        <v>31147</v>
      </c>
      <c r="G81" s="20">
        <v>43815</v>
      </c>
      <c r="H81" s="12" t="s">
        <v>13</v>
      </c>
      <c r="I81" s="21" t="str">
        <f>IF(Tabela1[[#This Row],[Data de Saída]]="","",PROPER(TEXT(Tabela1[[#This Row],[Data de Saída]],"mmm")))</f>
        <v>Jul</v>
      </c>
      <c r="J81" s="21" t="str">
        <f>IF(Tabela1[[#This Row],[Data de Saída]]="","",PROPER(TEXT(Tabela1[[#This Row],[Data de Saída]],"aaaa")))</f>
        <v>2020</v>
      </c>
      <c r="K81" s="27" t="str">
        <f>IF(Tabela1[[#This Row],[Data Admissão]]="","",PROPER(TEXT(Tabela1[[#This Row],[Data Admissão]],"mmm")))</f>
        <v>Dez</v>
      </c>
      <c r="L81" s="21" t="str">
        <f>IF(Tabela1[[#This Row],[Data Admissão]]="","",PROPER(TEXT(Tabela1[[#This Row],[Data Admissão]],"aaaa")))</f>
        <v>2019</v>
      </c>
      <c r="M81" s="12" t="s">
        <v>601</v>
      </c>
      <c r="N81" s="22" t="str">
        <f>IFERROR(IF(Tabela1[[#This Row],[Data de Saída]]="","ATIVO","-"),"-")</f>
        <v>-</v>
      </c>
    </row>
    <row r="82" spans="5:14" ht="24.95" customHeight="1" x14ac:dyDescent="0.2">
      <c r="E82" s="26" t="s">
        <v>288</v>
      </c>
      <c r="F82" s="20">
        <v>33304</v>
      </c>
      <c r="G82" s="20">
        <v>43815</v>
      </c>
      <c r="H82" s="12" t="s">
        <v>92</v>
      </c>
      <c r="I82" s="21" t="str">
        <f>IF(Tabela1[[#This Row],[Data de Saída]]="","",PROPER(TEXT(Tabela1[[#This Row],[Data de Saída]],"mmm")))</f>
        <v>Mar</v>
      </c>
      <c r="J82" s="21" t="str">
        <f>IF(Tabela1[[#This Row],[Data de Saída]]="","",PROPER(TEXT(Tabela1[[#This Row],[Data de Saída]],"aaaa")))</f>
        <v>2021</v>
      </c>
      <c r="K82" s="27" t="str">
        <f>IF(Tabela1[[#This Row],[Data Admissão]]="","",PROPER(TEXT(Tabela1[[#This Row],[Data Admissão]],"mmm")))</f>
        <v>Dez</v>
      </c>
      <c r="L82" s="21" t="str">
        <f>IF(Tabela1[[#This Row],[Data Admissão]]="","",PROPER(TEXT(Tabela1[[#This Row],[Data Admissão]],"aaaa")))</f>
        <v>2019</v>
      </c>
      <c r="M82" s="12" t="s">
        <v>602</v>
      </c>
      <c r="N82" s="22" t="str">
        <f>IFERROR(IF(Tabela1[[#This Row],[Data de Saída]]="","ATIVO","-"),"-")</f>
        <v>-</v>
      </c>
    </row>
    <row r="83" spans="5:14" ht="24.95" customHeight="1" x14ac:dyDescent="0.2">
      <c r="E83" s="26" t="s">
        <v>289</v>
      </c>
      <c r="F83" s="20">
        <v>30933</v>
      </c>
      <c r="G83" s="20">
        <v>43815</v>
      </c>
      <c r="H83" s="12" t="s">
        <v>117</v>
      </c>
      <c r="I83" s="21" t="str">
        <f>IF(Tabela1[[#This Row],[Data de Saída]]="","",PROPER(TEXT(Tabela1[[#This Row],[Data de Saída]],"mmm")))</f>
        <v>Fev</v>
      </c>
      <c r="J83" s="21" t="str">
        <f>IF(Tabela1[[#This Row],[Data de Saída]]="","",PROPER(TEXT(Tabela1[[#This Row],[Data de Saída]],"aaaa")))</f>
        <v>2020</v>
      </c>
      <c r="K83" s="27" t="str">
        <f>IF(Tabela1[[#This Row],[Data Admissão]]="","",PROPER(TEXT(Tabela1[[#This Row],[Data Admissão]],"mmm")))</f>
        <v>Dez</v>
      </c>
      <c r="L83" s="21" t="str">
        <f>IF(Tabela1[[#This Row],[Data Admissão]]="","",PROPER(TEXT(Tabela1[[#This Row],[Data Admissão]],"aaaa")))</f>
        <v>2019</v>
      </c>
      <c r="M83" s="12" t="s">
        <v>594</v>
      </c>
      <c r="N83" s="22" t="str">
        <f>IFERROR(IF(Tabela1[[#This Row],[Data de Saída]]="","ATIVO","-"),"-")</f>
        <v>-</v>
      </c>
    </row>
    <row r="84" spans="5:14" ht="24.95" customHeight="1" x14ac:dyDescent="0.2">
      <c r="E84" s="26" t="s">
        <v>290</v>
      </c>
      <c r="F84" s="20">
        <v>30385</v>
      </c>
      <c r="G84" s="20">
        <v>43815</v>
      </c>
      <c r="H84" s="12" t="s">
        <v>29</v>
      </c>
      <c r="I84" s="21" t="str">
        <f>IF(Tabela1[[#This Row],[Data de Saída]]="","",PROPER(TEXT(Tabela1[[#This Row],[Data de Saída]],"mmm")))</f>
        <v>Jan</v>
      </c>
      <c r="J84" s="21" t="str">
        <f>IF(Tabela1[[#This Row],[Data de Saída]]="","",PROPER(TEXT(Tabela1[[#This Row],[Data de Saída]],"aaaa")))</f>
        <v>2020</v>
      </c>
      <c r="K84" s="27" t="str">
        <f>IF(Tabela1[[#This Row],[Data Admissão]]="","",PROPER(TEXT(Tabela1[[#This Row],[Data Admissão]],"mmm")))</f>
        <v>Dez</v>
      </c>
      <c r="L84" s="21" t="str">
        <f>IF(Tabela1[[#This Row],[Data Admissão]]="","",PROPER(TEXT(Tabela1[[#This Row],[Data Admissão]],"aaaa")))</f>
        <v>2019</v>
      </c>
      <c r="M84" s="12" t="s">
        <v>594</v>
      </c>
      <c r="N84" s="22" t="str">
        <f>IFERROR(IF(Tabela1[[#This Row],[Data de Saída]]="","ATIVO","-"),"-")</f>
        <v>-</v>
      </c>
    </row>
    <row r="85" spans="5:14" ht="24.95" customHeight="1" x14ac:dyDescent="0.2">
      <c r="E85" s="26" t="s">
        <v>291</v>
      </c>
      <c r="F85" s="20">
        <v>28532</v>
      </c>
      <c r="G85" s="20">
        <v>43815</v>
      </c>
      <c r="H85" s="12" t="s">
        <v>29</v>
      </c>
      <c r="I85" s="21" t="str">
        <f>IF(Tabela1[[#This Row],[Data de Saída]]="","",PROPER(TEXT(Tabela1[[#This Row],[Data de Saída]],"mmm")))</f>
        <v>Jan</v>
      </c>
      <c r="J85" s="21" t="str">
        <f>IF(Tabela1[[#This Row],[Data de Saída]]="","",PROPER(TEXT(Tabela1[[#This Row],[Data de Saída]],"aaaa")))</f>
        <v>2020</v>
      </c>
      <c r="K85" s="27" t="str">
        <f>IF(Tabela1[[#This Row],[Data Admissão]]="","",PROPER(TEXT(Tabela1[[#This Row],[Data Admissão]],"mmm")))</f>
        <v>Dez</v>
      </c>
      <c r="L85" s="21" t="str">
        <f>IF(Tabela1[[#This Row],[Data Admissão]]="","",PROPER(TEXT(Tabela1[[#This Row],[Data Admissão]],"aaaa")))</f>
        <v>2019</v>
      </c>
      <c r="M85" s="12" t="s">
        <v>595</v>
      </c>
      <c r="N85" s="22" t="str">
        <f>IFERROR(IF(Tabela1[[#This Row],[Data de Saída]]="","ATIVO","-"),"-")</f>
        <v>-</v>
      </c>
    </row>
    <row r="86" spans="5:14" ht="24.95" customHeight="1" x14ac:dyDescent="0.2">
      <c r="E86" s="26" t="s">
        <v>292</v>
      </c>
      <c r="F86" s="20">
        <v>36981</v>
      </c>
      <c r="G86" s="20">
        <v>43815</v>
      </c>
      <c r="H86" s="12" t="s">
        <v>130</v>
      </c>
      <c r="I86" s="21" t="str">
        <f>IF(Tabela1[[#This Row],[Data de Saída]]="","",PROPER(TEXT(Tabela1[[#This Row],[Data de Saída]],"mmm")))</f>
        <v>Dez</v>
      </c>
      <c r="J86" s="21" t="str">
        <f>IF(Tabela1[[#This Row],[Data de Saída]]="","",PROPER(TEXT(Tabela1[[#This Row],[Data de Saída]],"aaaa")))</f>
        <v>2021</v>
      </c>
      <c r="K86" s="27" t="str">
        <f>IF(Tabela1[[#This Row],[Data Admissão]]="","",PROPER(TEXT(Tabela1[[#This Row],[Data Admissão]],"mmm")))</f>
        <v>Dez</v>
      </c>
      <c r="L86" s="21" t="str">
        <f>IF(Tabela1[[#This Row],[Data Admissão]]="","",PROPER(TEXT(Tabela1[[#This Row],[Data Admissão]],"aaaa")))</f>
        <v>2019</v>
      </c>
      <c r="M86" s="12" t="s">
        <v>596</v>
      </c>
      <c r="N86" s="22" t="str">
        <f>IFERROR(IF(Tabela1[[#This Row],[Data de Saída]]="","ATIVO","-"),"-")</f>
        <v>-</v>
      </c>
    </row>
    <row r="87" spans="5:14" ht="24.95" customHeight="1" x14ac:dyDescent="0.2">
      <c r="E87" s="26" t="s">
        <v>293</v>
      </c>
      <c r="F87" s="20">
        <v>36386</v>
      </c>
      <c r="G87" s="20">
        <v>43815</v>
      </c>
      <c r="H87" s="12"/>
      <c r="I87" s="21" t="str">
        <f>IF(Tabela1[[#This Row],[Data de Saída]]="","",PROPER(TEXT(Tabela1[[#This Row],[Data de Saída]],"mmm")))</f>
        <v/>
      </c>
      <c r="J87" s="21" t="str">
        <f>IF(Tabela1[[#This Row],[Data de Saída]]="","",PROPER(TEXT(Tabela1[[#This Row],[Data de Saída]],"aaaa")))</f>
        <v/>
      </c>
      <c r="K87" s="27" t="str">
        <f>IF(Tabela1[[#This Row],[Data Admissão]]="","",PROPER(TEXT(Tabela1[[#This Row],[Data Admissão]],"mmm")))</f>
        <v>Dez</v>
      </c>
      <c r="L87" s="21" t="str">
        <f>IF(Tabela1[[#This Row],[Data Admissão]]="","",PROPER(TEXT(Tabela1[[#This Row],[Data Admissão]],"aaaa")))</f>
        <v>2019</v>
      </c>
      <c r="M87" s="12" t="s">
        <v>597</v>
      </c>
      <c r="N87" s="22" t="str">
        <f>IFERROR(IF(Tabela1[[#This Row],[Data de Saída]]="","ATIVO","-"),"-")</f>
        <v>ATIVO</v>
      </c>
    </row>
    <row r="88" spans="5:14" ht="24.95" customHeight="1" x14ac:dyDescent="0.2">
      <c r="E88" s="26" t="s">
        <v>294</v>
      </c>
      <c r="F88" s="20">
        <v>31852</v>
      </c>
      <c r="G88" s="20">
        <v>43815</v>
      </c>
      <c r="H88" s="12"/>
      <c r="I88" s="21" t="str">
        <f>IF(Tabela1[[#This Row],[Data de Saída]]="","",PROPER(TEXT(Tabela1[[#This Row],[Data de Saída]],"mmm")))</f>
        <v/>
      </c>
      <c r="J88" s="21" t="str">
        <f>IF(Tabela1[[#This Row],[Data de Saída]]="","",PROPER(TEXT(Tabela1[[#This Row],[Data de Saída]],"aaaa")))</f>
        <v/>
      </c>
      <c r="K88" s="27" t="str">
        <f>IF(Tabela1[[#This Row],[Data Admissão]]="","",PROPER(TEXT(Tabela1[[#This Row],[Data Admissão]],"mmm")))</f>
        <v>Dez</v>
      </c>
      <c r="L88" s="21" t="str">
        <f>IF(Tabela1[[#This Row],[Data Admissão]]="","",PROPER(TEXT(Tabela1[[#This Row],[Data Admissão]],"aaaa")))</f>
        <v>2019</v>
      </c>
      <c r="M88" s="12" t="s">
        <v>598</v>
      </c>
      <c r="N88" s="22" t="str">
        <f>IFERROR(IF(Tabela1[[#This Row],[Data de Saída]]="","ATIVO","-"),"-")</f>
        <v>ATIVO</v>
      </c>
    </row>
    <row r="89" spans="5:14" ht="24.95" customHeight="1" x14ac:dyDescent="0.2">
      <c r="E89" s="26" t="s">
        <v>295</v>
      </c>
      <c r="F89" s="20">
        <v>36862</v>
      </c>
      <c r="G89" s="20">
        <v>43815</v>
      </c>
      <c r="H89" s="12" t="s">
        <v>29</v>
      </c>
      <c r="I89" s="21" t="str">
        <f>IF(Tabela1[[#This Row],[Data de Saída]]="","",PROPER(TEXT(Tabela1[[#This Row],[Data de Saída]],"mmm")))</f>
        <v>Jan</v>
      </c>
      <c r="J89" s="21" t="str">
        <f>IF(Tabela1[[#This Row],[Data de Saída]]="","",PROPER(TEXT(Tabela1[[#This Row],[Data de Saída]],"aaaa")))</f>
        <v>2020</v>
      </c>
      <c r="K89" s="27" t="str">
        <f>IF(Tabela1[[#This Row],[Data Admissão]]="","",PROPER(TEXT(Tabela1[[#This Row],[Data Admissão]],"mmm")))</f>
        <v>Dez</v>
      </c>
      <c r="L89" s="21" t="str">
        <f>IF(Tabela1[[#This Row],[Data Admissão]]="","",PROPER(TEXT(Tabela1[[#This Row],[Data Admissão]],"aaaa")))</f>
        <v>2019</v>
      </c>
      <c r="M89" s="12" t="s">
        <v>599</v>
      </c>
      <c r="N89" s="22" t="str">
        <f>IFERROR(IF(Tabela1[[#This Row],[Data de Saída]]="","ATIVO","-"),"-")</f>
        <v>-</v>
      </c>
    </row>
    <row r="90" spans="5:14" ht="24.95" customHeight="1" x14ac:dyDescent="0.2">
      <c r="E90" s="26" t="s">
        <v>296</v>
      </c>
      <c r="F90" s="20">
        <v>30666</v>
      </c>
      <c r="G90" s="20">
        <v>43815</v>
      </c>
      <c r="H90" s="12" t="s">
        <v>29</v>
      </c>
      <c r="I90" s="21" t="str">
        <f>IF(Tabela1[[#This Row],[Data de Saída]]="","",PROPER(TEXT(Tabela1[[#This Row],[Data de Saída]],"mmm")))</f>
        <v>Jan</v>
      </c>
      <c r="J90" s="21" t="str">
        <f>IF(Tabela1[[#This Row],[Data de Saída]]="","",PROPER(TEXT(Tabela1[[#This Row],[Data de Saída]],"aaaa")))</f>
        <v>2020</v>
      </c>
      <c r="K90" s="27" t="str">
        <f>IF(Tabela1[[#This Row],[Data Admissão]]="","",PROPER(TEXT(Tabela1[[#This Row],[Data Admissão]],"mmm")))</f>
        <v>Dez</v>
      </c>
      <c r="L90" s="21" t="str">
        <f>IF(Tabela1[[#This Row],[Data Admissão]]="","",PROPER(TEXT(Tabela1[[#This Row],[Data Admissão]],"aaaa")))</f>
        <v>2019</v>
      </c>
      <c r="M90" s="12" t="s">
        <v>599</v>
      </c>
      <c r="N90" s="22" t="str">
        <f>IFERROR(IF(Tabela1[[#This Row],[Data de Saída]]="","ATIVO","-"),"-")</f>
        <v>-</v>
      </c>
    </row>
    <row r="91" spans="5:14" ht="24.95" customHeight="1" x14ac:dyDescent="0.2">
      <c r="E91" s="26" t="s">
        <v>297</v>
      </c>
      <c r="F91" s="20">
        <v>30385</v>
      </c>
      <c r="G91" s="20">
        <v>43815</v>
      </c>
      <c r="H91" s="12" t="s">
        <v>29</v>
      </c>
      <c r="I91" s="21" t="str">
        <f>IF(Tabela1[[#This Row],[Data de Saída]]="","",PROPER(TEXT(Tabela1[[#This Row],[Data de Saída]],"mmm")))</f>
        <v>Jan</v>
      </c>
      <c r="J91" s="21" t="str">
        <f>IF(Tabela1[[#This Row],[Data de Saída]]="","",PROPER(TEXT(Tabela1[[#This Row],[Data de Saída]],"aaaa")))</f>
        <v>2020</v>
      </c>
      <c r="K91" s="27" t="str">
        <f>IF(Tabela1[[#This Row],[Data Admissão]]="","",PROPER(TEXT(Tabela1[[#This Row],[Data Admissão]],"mmm")))</f>
        <v>Dez</v>
      </c>
      <c r="L91" s="21" t="str">
        <f>IF(Tabela1[[#This Row],[Data Admissão]]="","",PROPER(TEXT(Tabela1[[#This Row],[Data Admissão]],"aaaa")))</f>
        <v>2019</v>
      </c>
      <c r="M91" s="12" t="s">
        <v>599</v>
      </c>
      <c r="N91" s="22" t="str">
        <f>IFERROR(IF(Tabela1[[#This Row],[Data de Saída]]="","ATIVO","-"),"-")</f>
        <v>-</v>
      </c>
    </row>
    <row r="92" spans="5:14" ht="24.95" customHeight="1" x14ac:dyDescent="0.2">
      <c r="E92" s="26" t="s">
        <v>298</v>
      </c>
      <c r="F92" s="20">
        <v>35394</v>
      </c>
      <c r="G92" s="20">
        <v>43815</v>
      </c>
      <c r="H92" s="12"/>
      <c r="I92" s="21" t="str">
        <f>IF(Tabela1[[#This Row],[Data de Saída]]="","",PROPER(TEXT(Tabela1[[#This Row],[Data de Saída]],"mmm")))</f>
        <v/>
      </c>
      <c r="J92" s="21" t="str">
        <f>IF(Tabela1[[#This Row],[Data de Saída]]="","",PROPER(TEXT(Tabela1[[#This Row],[Data de Saída]],"aaaa")))</f>
        <v/>
      </c>
      <c r="K92" s="27" t="str">
        <f>IF(Tabela1[[#This Row],[Data Admissão]]="","",PROPER(TEXT(Tabela1[[#This Row],[Data Admissão]],"mmm")))</f>
        <v>Dez</v>
      </c>
      <c r="L92" s="21" t="str">
        <f>IF(Tabela1[[#This Row],[Data Admissão]]="","",PROPER(TEXT(Tabela1[[#This Row],[Data Admissão]],"aaaa")))</f>
        <v>2019</v>
      </c>
      <c r="M92" s="12" t="s">
        <v>599</v>
      </c>
      <c r="N92" s="22" t="str">
        <f>IFERROR(IF(Tabela1[[#This Row],[Data de Saída]]="","ATIVO","-"),"-")</f>
        <v>ATIVO</v>
      </c>
    </row>
    <row r="93" spans="5:14" ht="24.95" customHeight="1" x14ac:dyDescent="0.2">
      <c r="E93" s="26" t="s">
        <v>299</v>
      </c>
      <c r="F93" s="20">
        <v>29719</v>
      </c>
      <c r="G93" s="20">
        <v>43815</v>
      </c>
      <c r="H93" s="12" t="s">
        <v>163</v>
      </c>
      <c r="I93" s="21" t="str">
        <f>IF(Tabela1[[#This Row],[Data de Saída]]="","",PROPER(TEXT(Tabela1[[#This Row],[Data de Saída]],"mmm")))</f>
        <v>Nov</v>
      </c>
      <c r="J93" s="21" t="str">
        <f>IF(Tabela1[[#This Row],[Data de Saída]]="","",PROPER(TEXT(Tabela1[[#This Row],[Data de Saída]],"aaaa")))</f>
        <v>2020</v>
      </c>
      <c r="K93" s="27" t="str">
        <f>IF(Tabela1[[#This Row],[Data Admissão]]="","",PROPER(TEXT(Tabela1[[#This Row],[Data Admissão]],"mmm")))</f>
        <v>Dez</v>
      </c>
      <c r="L93" s="21" t="str">
        <f>IF(Tabela1[[#This Row],[Data Admissão]]="","",PROPER(TEXT(Tabela1[[#This Row],[Data Admissão]],"aaaa")))</f>
        <v>2019</v>
      </c>
      <c r="M93" s="12" t="s">
        <v>600</v>
      </c>
      <c r="N93" s="22" t="str">
        <f>IFERROR(IF(Tabela1[[#This Row],[Data de Saída]]="","ATIVO","-"),"-")</f>
        <v>-</v>
      </c>
    </row>
    <row r="94" spans="5:14" ht="24.95" customHeight="1" x14ac:dyDescent="0.2">
      <c r="E94" s="26" t="s">
        <v>300</v>
      </c>
      <c r="F94" s="20">
        <v>32523</v>
      </c>
      <c r="G94" s="20">
        <v>43815</v>
      </c>
      <c r="H94" s="12" t="s">
        <v>166</v>
      </c>
      <c r="I94" s="21" t="str">
        <f>IF(Tabela1[[#This Row],[Data de Saída]]="","",PROPER(TEXT(Tabela1[[#This Row],[Data de Saída]],"mmm")))</f>
        <v>Dez</v>
      </c>
      <c r="J94" s="21" t="str">
        <f>IF(Tabela1[[#This Row],[Data de Saída]]="","",PROPER(TEXT(Tabela1[[#This Row],[Data de Saída]],"aaaa")))</f>
        <v>2023</v>
      </c>
      <c r="K94" s="27" t="str">
        <f>IF(Tabela1[[#This Row],[Data Admissão]]="","",PROPER(TEXT(Tabela1[[#This Row],[Data Admissão]],"mmm")))</f>
        <v>Dez</v>
      </c>
      <c r="L94" s="21" t="str">
        <f>IF(Tabela1[[#This Row],[Data Admissão]]="","",PROPER(TEXT(Tabela1[[#This Row],[Data Admissão]],"aaaa")))</f>
        <v>2019</v>
      </c>
      <c r="M94" s="12" t="s">
        <v>601</v>
      </c>
      <c r="N94" s="22" t="str">
        <f>IFERROR(IF(Tabela1[[#This Row],[Data de Saída]]="","ATIVO","-"),"-")</f>
        <v>-</v>
      </c>
    </row>
    <row r="95" spans="5:14" ht="24.95" customHeight="1" x14ac:dyDescent="0.2">
      <c r="E95" s="26" t="s">
        <v>301</v>
      </c>
      <c r="F95" s="20">
        <v>31051</v>
      </c>
      <c r="G95" s="20">
        <v>43815</v>
      </c>
      <c r="H95" s="12" t="s">
        <v>168</v>
      </c>
      <c r="I95" s="21" t="str">
        <f>IF(Tabela1[[#This Row],[Data de Saída]]="","",PROPER(TEXT(Tabela1[[#This Row],[Data de Saída]],"mmm")))</f>
        <v>Nov</v>
      </c>
      <c r="J95" s="21" t="str">
        <f>IF(Tabela1[[#This Row],[Data de Saída]]="","",PROPER(TEXT(Tabela1[[#This Row],[Data de Saída]],"aaaa")))</f>
        <v>2020</v>
      </c>
      <c r="K95" s="27" t="str">
        <f>IF(Tabela1[[#This Row],[Data Admissão]]="","",PROPER(TEXT(Tabela1[[#This Row],[Data Admissão]],"mmm")))</f>
        <v>Dez</v>
      </c>
      <c r="L95" s="21" t="str">
        <f>IF(Tabela1[[#This Row],[Data Admissão]]="","",PROPER(TEXT(Tabela1[[#This Row],[Data Admissão]],"aaaa")))</f>
        <v>2019</v>
      </c>
      <c r="M95" s="12" t="s">
        <v>602</v>
      </c>
      <c r="N95" s="22" t="str">
        <f>IFERROR(IF(Tabela1[[#This Row],[Data de Saída]]="","ATIVO","-"),"-")</f>
        <v>-</v>
      </c>
    </row>
    <row r="96" spans="5:14" ht="24.95" customHeight="1" x14ac:dyDescent="0.2">
      <c r="E96" s="26" t="s">
        <v>302</v>
      </c>
      <c r="F96" s="20">
        <v>30072</v>
      </c>
      <c r="G96" s="20">
        <v>43815</v>
      </c>
      <c r="H96" s="12" t="s">
        <v>171</v>
      </c>
      <c r="I96" s="21" t="str">
        <f>IF(Tabela1[[#This Row],[Data de Saída]]="","",PROPER(TEXT(Tabela1[[#This Row],[Data de Saída]],"mmm")))</f>
        <v>Mar</v>
      </c>
      <c r="J96" s="21" t="str">
        <f>IF(Tabela1[[#This Row],[Data de Saída]]="","",PROPER(TEXT(Tabela1[[#This Row],[Data de Saída]],"aaaa")))</f>
        <v>2021</v>
      </c>
      <c r="K96" s="27" t="str">
        <f>IF(Tabela1[[#This Row],[Data Admissão]]="","",PROPER(TEXT(Tabela1[[#This Row],[Data Admissão]],"mmm")))</f>
        <v>Dez</v>
      </c>
      <c r="L96" s="21" t="str">
        <f>IF(Tabela1[[#This Row],[Data Admissão]]="","",PROPER(TEXT(Tabela1[[#This Row],[Data Admissão]],"aaaa")))</f>
        <v>2019</v>
      </c>
      <c r="M96" s="12" t="s">
        <v>594</v>
      </c>
      <c r="N96" s="22" t="str">
        <f>IFERROR(IF(Tabela1[[#This Row],[Data de Saída]]="","ATIVO","-"),"-")</f>
        <v>-</v>
      </c>
    </row>
    <row r="97" spans="5:14" ht="24.95" customHeight="1" x14ac:dyDescent="0.2">
      <c r="E97" s="26" t="s">
        <v>303</v>
      </c>
      <c r="F97" s="20">
        <v>31614</v>
      </c>
      <c r="G97" s="20">
        <v>43816</v>
      </c>
      <c r="H97" s="12"/>
      <c r="I97" s="21" t="str">
        <f>IF(Tabela1[[#This Row],[Data de Saída]]="","",PROPER(TEXT(Tabela1[[#This Row],[Data de Saída]],"mmm")))</f>
        <v/>
      </c>
      <c r="J97" s="21" t="str">
        <f>IF(Tabela1[[#This Row],[Data de Saída]]="","",PROPER(TEXT(Tabela1[[#This Row],[Data de Saída]],"aaaa")))</f>
        <v/>
      </c>
      <c r="K97" s="27" t="str">
        <f>IF(Tabela1[[#This Row],[Data Admissão]]="","",PROPER(TEXT(Tabela1[[#This Row],[Data Admissão]],"mmm")))</f>
        <v>Dez</v>
      </c>
      <c r="L97" s="21" t="str">
        <f>IF(Tabela1[[#This Row],[Data Admissão]]="","",PROPER(TEXT(Tabela1[[#This Row],[Data Admissão]],"aaaa")))</f>
        <v>2019</v>
      </c>
      <c r="M97" s="12" t="s">
        <v>594</v>
      </c>
      <c r="N97" s="22" t="str">
        <f>IFERROR(IF(Tabela1[[#This Row],[Data de Saída]]="","ATIVO","-"),"-")</f>
        <v>ATIVO</v>
      </c>
    </row>
    <row r="98" spans="5:14" ht="24.95" customHeight="1" x14ac:dyDescent="0.2">
      <c r="E98" s="26" t="s">
        <v>304</v>
      </c>
      <c r="F98" s="20">
        <v>29768</v>
      </c>
      <c r="G98" s="20">
        <v>43816</v>
      </c>
      <c r="H98" s="12" t="s">
        <v>30</v>
      </c>
      <c r="I98" s="21" t="str">
        <f>IF(Tabela1[[#This Row],[Data de Saída]]="","",PROPER(TEXT(Tabela1[[#This Row],[Data de Saída]],"mmm")))</f>
        <v>Mar</v>
      </c>
      <c r="J98" s="21" t="str">
        <f>IF(Tabela1[[#This Row],[Data de Saída]]="","",PROPER(TEXT(Tabela1[[#This Row],[Data de Saída]],"aaaa")))</f>
        <v>2021</v>
      </c>
      <c r="K98" s="27" t="str">
        <f>IF(Tabela1[[#This Row],[Data Admissão]]="","",PROPER(TEXT(Tabela1[[#This Row],[Data Admissão]],"mmm")))</f>
        <v>Dez</v>
      </c>
      <c r="L98" s="21" t="str">
        <f>IF(Tabela1[[#This Row],[Data Admissão]]="","",PROPER(TEXT(Tabela1[[#This Row],[Data Admissão]],"aaaa")))</f>
        <v>2019</v>
      </c>
      <c r="M98" s="12" t="s">
        <v>595</v>
      </c>
      <c r="N98" s="22" t="str">
        <f>IFERROR(IF(Tabela1[[#This Row],[Data de Saída]]="","ATIVO","-"),"-")</f>
        <v>-</v>
      </c>
    </row>
    <row r="99" spans="5:14" ht="24.95" customHeight="1" x14ac:dyDescent="0.2">
      <c r="E99" s="26" t="s">
        <v>305</v>
      </c>
      <c r="F99" s="20">
        <v>28879</v>
      </c>
      <c r="G99" s="20">
        <v>43816</v>
      </c>
      <c r="H99" s="12" t="s">
        <v>40</v>
      </c>
      <c r="I99" s="21" t="str">
        <f>IF(Tabela1[[#This Row],[Data de Saída]]="","",PROPER(TEXT(Tabela1[[#This Row],[Data de Saída]],"mmm")))</f>
        <v>Mar</v>
      </c>
      <c r="J99" s="21" t="str">
        <f>IF(Tabela1[[#This Row],[Data de Saída]]="","",PROPER(TEXT(Tabela1[[#This Row],[Data de Saída]],"aaaa")))</f>
        <v>2023</v>
      </c>
      <c r="K99" s="27" t="str">
        <f>IF(Tabela1[[#This Row],[Data Admissão]]="","",PROPER(TEXT(Tabela1[[#This Row],[Data Admissão]],"mmm")))</f>
        <v>Dez</v>
      </c>
      <c r="L99" s="21" t="str">
        <f>IF(Tabela1[[#This Row],[Data Admissão]]="","",PROPER(TEXT(Tabela1[[#This Row],[Data Admissão]],"aaaa")))</f>
        <v>2019</v>
      </c>
      <c r="M99" s="12" t="s">
        <v>596</v>
      </c>
      <c r="N99" s="22" t="str">
        <f>IFERROR(IF(Tabela1[[#This Row],[Data de Saída]]="","ATIVO","-"),"-")</f>
        <v>-</v>
      </c>
    </row>
    <row r="100" spans="5:14" ht="24.95" customHeight="1" x14ac:dyDescent="0.2">
      <c r="E100" s="26" t="s">
        <v>306</v>
      </c>
      <c r="F100" s="20">
        <v>33445</v>
      </c>
      <c r="G100" s="20">
        <v>43816</v>
      </c>
      <c r="H100" s="12" t="s">
        <v>49</v>
      </c>
      <c r="I100" s="21" t="str">
        <f>IF(Tabela1[[#This Row],[Data de Saída]]="","",PROPER(TEXT(Tabela1[[#This Row],[Data de Saída]],"mmm")))</f>
        <v>Jan</v>
      </c>
      <c r="J100" s="21" t="str">
        <f>IF(Tabela1[[#This Row],[Data de Saída]]="","",PROPER(TEXT(Tabela1[[#This Row],[Data de Saída]],"aaaa")))</f>
        <v>2020</v>
      </c>
      <c r="K100" s="27" t="str">
        <f>IF(Tabela1[[#This Row],[Data Admissão]]="","",PROPER(TEXT(Tabela1[[#This Row],[Data Admissão]],"mmm")))</f>
        <v>Dez</v>
      </c>
      <c r="L100" s="21" t="str">
        <f>IF(Tabela1[[#This Row],[Data Admissão]]="","",PROPER(TEXT(Tabela1[[#This Row],[Data Admissão]],"aaaa")))</f>
        <v>2019</v>
      </c>
      <c r="M100" s="12" t="s">
        <v>597</v>
      </c>
      <c r="N100" s="22" t="str">
        <f>IFERROR(IF(Tabela1[[#This Row],[Data de Saída]]="","ATIVO","-"),"-")</f>
        <v>-</v>
      </c>
    </row>
    <row r="101" spans="5:14" ht="24.95" customHeight="1" x14ac:dyDescent="0.2">
      <c r="E101" s="26" t="s">
        <v>307</v>
      </c>
      <c r="F101" s="20">
        <v>30356</v>
      </c>
      <c r="G101" s="20">
        <v>43816</v>
      </c>
      <c r="H101" s="12" t="s">
        <v>5</v>
      </c>
      <c r="I101" s="21" t="str">
        <f>IF(Tabela1[[#This Row],[Data de Saída]]="","",PROPER(TEXT(Tabela1[[#This Row],[Data de Saída]],"mmm")))</f>
        <v>Mar</v>
      </c>
      <c r="J101" s="21" t="str">
        <f>IF(Tabela1[[#This Row],[Data de Saída]]="","",PROPER(TEXT(Tabela1[[#This Row],[Data de Saída]],"aaaa")))</f>
        <v>2021</v>
      </c>
      <c r="K101" s="27" t="str">
        <f>IF(Tabela1[[#This Row],[Data Admissão]]="","",PROPER(TEXT(Tabela1[[#This Row],[Data Admissão]],"mmm")))</f>
        <v>Dez</v>
      </c>
      <c r="L101" s="21" t="str">
        <f>IF(Tabela1[[#This Row],[Data Admissão]]="","",PROPER(TEXT(Tabela1[[#This Row],[Data Admissão]],"aaaa")))</f>
        <v>2019</v>
      </c>
      <c r="M101" s="12" t="s">
        <v>598</v>
      </c>
      <c r="N101" s="22" t="str">
        <f>IFERROR(IF(Tabela1[[#This Row],[Data de Saída]]="","ATIVO","-"),"-")</f>
        <v>-</v>
      </c>
    </row>
    <row r="102" spans="5:14" ht="24.95" customHeight="1" x14ac:dyDescent="0.2">
      <c r="E102" s="26" t="s">
        <v>308</v>
      </c>
      <c r="F102" s="20">
        <v>34776</v>
      </c>
      <c r="G102" s="20">
        <v>43816</v>
      </c>
      <c r="H102" s="12" t="s">
        <v>62</v>
      </c>
      <c r="I102" s="21" t="str">
        <f>IF(Tabela1[[#This Row],[Data de Saída]]="","",PROPER(TEXT(Tabela1[[#This Row],[Data de Saída]],"mmm")))</f>
        <v>Ago</v>
      </c>
      <c r="J102" s="21" t="str">
        <f>IF(Tabela1[[#This Row],[Data de Saída]]="","",PROPER(TEXT(Tabela1[[#This Row],[Data de Saída]],"aaaa")))</f>
        <v>2020</v>
      </c>
      <c r="K102" s="27" t="str">
        <f>IF(Tabela1[[#This Row],[Data Admissão]]="","",PROPER(TEXT(Tabela1[[#This Row],[Data Admissão]],"mmm")))</f>
        <v>Dez</v>
      </c>
      <c r="L102" s="21" t="str">
        <f>IF(Tabela1[[#This Row],[Data Admissão]]="","",PROPER(TEXT(Tabela1[[#This Row],[Data Admissão]],"aaaa")))</f>
        <v>2019</v>
      </c>
      <c r="M102" s="12" t="s">
        <v>599</v>
      </c>
      <c r="N102" s="22" t="str">
        <f>IFERROR(IF(Tabela1[[#This Row],[Data de Saída]]="","ATIVO","-"),"-")</f>
        <v>-</v>
      </c>
    </row>
    <row r="103" spans="5:14" ht="24.95" customHeight="1" x14ac:dyDescent="0.2">
      <c r="E103" s="26" t="s">
        <v>309</v>
      </c>
      <c r="F103" s="20">
        <v>29764</v>
      </c>
      <c r="G103" s="20">
        <v>43816</v>
      </c>
      <c r="H103" s="12"/>
      <c r="I103" s="21" t="str">
        <f>IF(Tabela1[[#This Row],[Data de Saída]]="","",PROPER(TEXT(Tabela1[[#This Row],[Data de Saída]],"mmm")))</f>
        <v/>
      </c>
      <c r="J103" s="21" t="str">
        <f>IF(Tabela1[[#This Row],[Data de Saída]]="","",PROPER(TEXT(Tabela1[[#This Row],[Data de Saída]],"aaaa")))</f>
        <v/>
      </c>
      <c r="K103" s="27" t="str">
        <f>IF(Tabela1[[#This Row],[Data Admissão]]="","",PROPER(TEXT(Tabela1[[#This Row],[Data Admissão]],"mmm")))</f>
        <v>Dez</v>
      </c>
      <c r="L103" s="21" t="str">
        <f>IF(Tabela1[[#This Row],[Data Admissão]]="","",PROPER(TEXT(Tabela1[[#This Row],[Data Admissão]],"aaaa")))</f>
        <v>2019</v>
      </c>
      <c r="M103" s="12" t="s">
        <v>599</v>
      </c>
      <c r="N103" s="22" t="str">
        <f>IFERROR(IF(Tabela1[[#This Row],[Data de Saída]]="","ATIVO","-"),"-")</f>
        <v>ATIVO</v>
      </c>
    </row>
    <row r="104" spans="5:14" ht="24.95" customHeight="1" x14ac:dyDescent="0.2">
      <c r="E104" s="26" t="s">
        <v>310</v>
      </c>
      <c r="F104" s="20">
        <v>32679</v>
      </c>
      <c r="G104" s="20">
        <v>43816</v>
      </c>
      <c r="H104" s="12"/>
      <c r="I104" s="21" t="str">
        <f>IF(Tabela1[[#This Row],[Data de Saída]]="","",PROPER(TEXT(Tabela1[[#This Row],[Data de Saída]],"mmm")))</f>
        <v/>
      </c>
      <c r="J104" s="21" t="str">
        <f>IF(Tabela1[[#This Row],[Data de Saída]]="","",PROPER(TEXT(Tabela1[[#This Row],[Data de Saída]],"aaaa")))</f>
        <v/>
      </c>
      <c r="K104" s="27" t="str">
        <f>IF(Tabela1[[#This Row],[Data Admissão]]="","",PROPER(TEXT(Tabela1[[#This Row],[Data Admissão]],"mmm")))</f>
        <v>Dez</v>
      </c>
      <c r="L104" s="21" t="str">
        <f>IF(Tabela1[[#This Row],[Data Admissão]]="","",PROPER(TEXT(Tabela1[[#This Row],[Data Admissão]],"aaaa")))</f>
        <v>2019</v>
      </c>
      <c r="M104" s="12" t="s">
        <v>599</v>
      </c>
      <c r="N104" s="22" t="str">
        <f>IFERROR(IF(Tabela1[[#This Row],[Data de Saída]]="","ATIVO","-"),"-")</f>
        <v>ATIVO</v>
      </c>
    </row>
    <row r="105" spans="5:14" ht="24.95" customHeight="1" x14ac:dyDescent="0.2">
      <c r="E105" s="26" t="s">
        <v>311</v>
      </c>
      <c r="F105" s="20">
        <v>37060</v>
      </c>
      <c r="G105" s="20">
        <v>43816</v>
      </c>
      <c r="H105" s="12" t="s">
        <v>49</v>
      </c>
      <c r="I105" s="21" t="str">
        <f>IF(Tabela1[[#This Row],[Data de Saída]]="","",PROPER(TEXT(Tabela1[[#This Row],[Data de Saída]],"mmm")))</f>
        <v>Jan</v>
      </c>
      <c r="J105" s="21" t="str">
        <f>IF(Tabela1[[#This Row],[Data de Saída]]="","",PROPER(TEXT(Tabela1[[#This Row],[Data de Saída]],"aaaa")))</f>
        <v>2020</v>
      </c>
      <c r="K105" s="27" t="str">
        <f>IF(Tabela1[[#This Row],[Data Admissão]]="","",PROPER(TEXT(Tabela1[[#This Row],[Data Admissão]],"mmm")))</f>
        <v>Dez</v>
      </c>
      <c r="L105" s="21" t="str">
        <f>IF(Tabela1[[#This Row],[Data Admissão]]="","",PROPER(TEXT(Tabela1[[#This Row],[Data Admissão]],"aaaa")))</f>
        <v>2019</v>
      </c>
      <c r="M105" s="12" t="s">
        <v>599</v>
      </c>
      <c r="N105" s="22" t="str">
        <f>IFERROR(IF(Tabela1[[#This Row],[Data de Saída]]="","ATIVO","-"),"-")</f>
        <v>-</v>
      </c>
    </row>
    <row r="106" spans="5:14" ht="24.95" customHeight="1" x14ac:dyDescent="0.2">
      <c r="E106" s="26" t="s">
        <v>312</v>
      </c>
      <c r="F106" s="20">
        <v>36548</v>
      </c>
      <c r="G106" s="20">
        <v>43816</v>
      </c>
      <c r="H106" s="12" t="s">
        <v>49</v>
      </c>
      <c r="I106" s="21" t="str">
        <f>IF(Tabela1[[#This Row],[Data de Saída]]="","",PROPER(TEXT(Tabela1[[#This Row],[Data de Saída]],"mmm")))</f>
        <v>Jan</v>
      </c>
      <c r="J106" s="21" t="str">
        <f>IF(Tabela1[[#This Row],[Data de Saída]]="","",PROPER(TEXT(Tabela1[[#This Row],[Data de Saída]],"aaaa")))</f>
        <v>2020</v>
      </c>
      <c r="K106" s="27" t="str">
        <f>IF(Tabela1[[#This Row],[Data Admissão]]="","",PROPER(TEXT(Tabela1[[#This Row],[Data Admissão]],"mmm")))</f>
        <v>Dez</v>
      </c>
      <c r="L106" s="21" t="str">
        <f>IF(Tabela1[[#This Row],[Data Admissão]]="","",PROPER(TEXT(Tabela1[[#This Row],[Data Admissão]],"aaaa")))</f>
        <v>2019</v>
      </c>
      <c r="M106" s="12" t="s">
        <v>600</v>
      </c>
      <c r="N106" s="22" t="str">
        <f>IFERROR(IF(Tabela1[[#This Row],[Data de Saída]]="","ATIVO","-"),"-")</f>
        <v>-</v>
      </c>
    </row>
    <row r="107" spans="5:14" ht="24.95" customHeight="1" x14ac:dyDescent="0.2">
      <c r="E107" s="26" t="s">
        <v>313</v>
      </c>
      <c r="F107" s="20">
        <v>33367</v>
      </c>
      <c r="G107" s="20">
        <v>43816</v>
      </c>
      <c r="H107" s="12" t="s">
        <v>30</v>
      </c>
      <c r="I107" s="21" t="str">
        <f>IF(Tabela1[[#This Row],[Data de Saída]]="","",PROPER(TEXT(Tabela1[[#This Row],[Data de Saída]],"mmm")))</f>
        <v>Mar</v>
      </c>
      <c r="J107" s="21" t="str">
        <f>IF(Tabela1[[#This Row],[Data de Saída]]="","",PROPER(TEXT(Tabela1[[#This Row],[Data de Saída]],"aaaa")))</f>
        <v>2021</v>
      </c>
      <c r="K107" s="27" t="str">
        <f>IF(Tabela1[[#This Row],[Data Admissão]]="","",PROPER(TEXT(Tabela1[[#This Row],[Data Admissão]],"mmm")))</f>
        <v>Dez</v>
      </c>
      <c r="L107" s="21" t="str">
        <f>IF(Tabela1[[#This Row],[Data Admissão]]="","",PROPER(TEXT(Tabela1[[#This Row],[Data Admissão]],"aaaa")))</f>
        <v>2019</v>
      </c>
      <c r="M107" s="12" t="s">
        <v>601</v>
      </c>
      <c r="N107" s="22" t="str">
        <f>IFERROR(IF(Tabela1[[#This Row],[Data de Saída]]="","ATIVO","-"),"-")</f>
        <v>-</v>
      </c>
    </row>
    <row r="108" spans="5:14" ht="24.95" customHeight="1" x14ac:dyDescent="0.2">
      <c r="E108" s="26" t="s">
        <v>314</v>
      </c>
      <c r="F108" s="20">
        <v>35982</v>
      </c>
      <c r="G108" s="20">
        <v>43816</v>
      </c>
      <c r="H108" s="12" t="s">
        <v>99</v>
      </c>
      <c r="I108" s="21" t="str">
        <f>IF(Tabela1[[#This Row],[Data de Saída]]="","",PROPER(TEXT(Tabela1[[#This Row],[Data de Saída]],"mmm")))</f>
        <v>Mar</v>
      </c>
      <c r="J108" s="21" t="str">
        <f>IF(Tabela1[[#This Row],[Data de Saída]]="","",PROPER(TEXT(Tabela1[[#This Row],[Data de Saída]],"aaaa")))</f>
        <v>2020</v>
      </c>
      <c r="K108" s="27" t="str">
        <f>IF(Tabela1[[#This Row],[Data Admissão]]="","",PROPER(TEXT(Tabela1[[#This Row],[Data Admissão]],"mmm")))</f>
        <v>Dez</v>
      </c>
      <c r="L108" s="21" t="str">
        <f>IF(Tabela1[[#This Row],[Data Admissão]]="","",PROPER(TEXT(Tabela1[[#This Row],[Data Admissão]],"aaaa")))</f>
        <v>2019</v>
      </c>
      <c r="M108" s="12" t="s">
        <v>602</v>
      </c>
      <c r="N108" s="22" t="str">
        <f>IFERROR(IF(Tabela1[[#This Row],[Data de Saída]]="","ATIVO","-"),"-")</f>
        <v>-</v>
      </c>
    </row>
    <row r="109" spans="5:14" ht="24.95" customHeight="1" x14ac:dyDescent="0.2">
      <c r="E109" s="26" t="s">
        <v>315</v>
      </c>
      <c r="F109" s="20">
        <v>26248</v>
      </c>
      <c r="G109" s="20">
        <v>43816</v>
      </c>
      <c r="H109" s="12" t="s">
        <v>100</v>
      </c>
      <c r="I109" s="21" t="str">
        <f>IF(Tabela1[[#This Row],[Data de Saída]]="","",PROPER(TEXT(Tabela1[[#This Row],[Data de Saída]],"mmm")))</f>
        <v>Jul</v>
      </c>
      <c r="J109" s="21" t="str">
        <f>IF(Tabela1[[#This Row],[Data de Saída]]="","",PROPER(TEXT(Tabela1[[#This Row],[Data de Saída]],"aaaa")))</f>
        <v>2021</v>
      </c>
      <c r="K109" s="27" t="str">
        <f>IF(Tabela1[[#This Row],[Data Admissão]]="","",PROPER(TEXT(Tabela1[[#This Row],[Data Admissão]],"mmm")))</f>
        <v>Dez</v>
      </c>
      <c r="L109" s="21" t="str">
        <f>IF(Tabela1[[#This Row],[Data Admissão]]="","",PROPER(TEXT(Tabela1[[#This Row],[Data Admissão]],"aaaa")))</f>
        <v>2019</v>
      </c>
      <c r="M109" s="12" t="s">
        <v>594</v>
      </c>
      <c r="N109" s="22" t="str">
        <f>IFERROR(IF(Tabela1[[#This Row],[Data de Saída]]="","ATIVO","-"),"-")</f>
        <v>-</v>
      </c>
    </row>
    <row r="110" spans="5:14" ht="24.95" customHeight="1" x14ac:dyDescent="0.2">
      <c r="E110" s="26" t="s">
        <v>316</v>
      </c>
      <c r="F110" s="20">
        <v>34705</v>
      </c>
      <c r="G110" s="20">
        <v>43816</v>
      </c>
      <c r="H110" s="12" t="s">
        <v>99</v>
      </c>
      <c r="I110" s="21" t="str">
        <f>IF(Tabela1[[#This Row],[Data de Saída]]="","",PROPER(TEXT(Tabela1[[#This Row],[Data de Saída]],"mmm")))</f>
        <v>Mar</v>
      </c>
      <c r="J110" s="21" t="str">
        <f>IF(Tabela1[[#This Row],[Data de Saída]]="","",PROPER(TEXT(Tabela1[[#This Row],[Data de Saída]],"aaaa")))</f>
        <v>2020</v>
      </c>
      <c r="K110" s="27" t="str">
        <f>IF(Tabela1[[#This Row],[Data Admissão]]="","",PROPER(TEXT(Tabela1[[#This Row],[Data Admissão]],"mmm")))</f>
        <v>Dez</v>
      </c>
      <c r="L110" s="21" t="str">
        <f>IF(Tabela1[[#This Row],[Data Admissão]]="","",PROPER(TEXT(Tabela1[[#This Row],[Data Admissão]],"aaaa")))</f>
        <v>2019</v>
      </c>
      <c r="M110" s="12" t="s">
        <v>594</v>
      </c>
      <c r="N110" s="22" t="str">
        <f>IFERROR(IF(Tabela1[[#This Row],[Data de Saída]]="","ATIVO","-"),"-")</f>
        <v>-</v>
      </c>
    </row>
    <row r="111" spans="5:14" ht="24.95" customHeight="1" x14ac:dyDescent="0.2">
      <c r="E111" s="26" t="s">
        <v>317</v>
      </c>
      <c r="F111" s="20">
        <v>28259</v>
      </c>
      <c r="G111" s="20">
        <v>43816</v>
      </c>
      <c r="H111" s="12" t="s">
        <v>123</v>
      </c>
      <c r="I111" s="21" t="str">
        <f>IF(Tabela1[[#This Row],[Data de Saída]]="","",PROPER(TEXT(Tabela1[[#This Row],[Data de Saída]],"mmm")))</f>
        <v>Abr</v>
      </c>
      <c r="J111" s="21" t="str">
        <f>IF(Tabela1[[#This Row],[Data de Saída]]="","",PROPER(TEXT(Tabela1[[#This Row],[Data de Saída]],"aaaa")))</f>
        <v>2021</v>
      </c>
      <c r="K111" s="27" t="str">
        <f>IF(Tabela1[[#This Row],[Data Admissão]]="","",PROPER(TEXT(Tabela1[[#This Row],[Data Admissão]],"mmm")))</f>
        <v>Dez</v>
      </c>
      <c r="L111" s="21" t="str">
        <f>IF(Tabela1[[#This Row],[Data Admissão]]="","",PROPER(TEXT(Tabela1[[#This Row],[Data Admissão]],"aaaa")))</f>
        <v>2019</v>
      </c>
      <c r="M111" s="12" t="s">
        <v>595</v>
      </c>
      <c r="N111" s="22" t="str">
        <f>IFERROR(IF(Tabela1[[#This Row],[Data de Saída]]="","ATIVO","-"),"-")</f>
        <v>-</v>
      </c>
    </row>
    <row r="112" spans="5:14" ht="24.95" customHeight="1" x14ac:dyDescent="0.2">
      <c r="E112" s="26" t="s">
        <v>318</v>
      </c>
      <c r="F112" s="20">
        <v>31080</v>
      </c>
      <c r="G112" s="20">
        <v>43816</v>
      </c>
      <c r="H112" s="12" t="s">
        <v>49</v>
      </c>
      <c r="I112" s="21" t="str">
        <f>IF(Tabela1[[#This Row],[Data de Saída]]="","",PROPER(TEXT(Tabela1[[#This Row],[Data de Saída]],"mmm")))</f>
        <v>Jan</v>
      </c>
      <c r="J112" s="21" t="str">
        <f>IF(Tabela1[[#This Row],[Data de Saída]]="","",PROPER(TEXT(Tabela1[[#This Row],[Data de Saída]],"aaaa")))</f>
        <v>2020</v>
      </c>
      <c r="K112" s="27" t="str">
        <f>IF(Tabela1[[#This Row],[Data Admissão]]="","",PROPER(TEXT(Tabela1[[#This Row],[Data Admissão]],"mmm")))</f>
        <v>Dez</v>
      </c>
      <c r="L112" s="21" t="str">
        <f>IF(Tabela1[[#This Row],[Data Admissão]]="","",PROPER(TEXT(Tabela1[[#This Row],[Data Admissão]],"aaaa")))</f>
        <v>2019</v>
      </c>
      <c r="M112" s="12" t="s">
        <v>596</v>
      </c>
      <c r="N112" s="22" t="str">
        <f>IFERROR(IF(Tabela1[[#This Row],[Data de Saída]]="","ATIVO","-"),"-")</f>
        <v>-</v>
      </c>
    </row>
    <row r="113" spans="5:14" ht="24.95" customHeight="1" x14ac:dyDescent="0.2">
      <c r="E113" s="26" t="s">
        <v>319</v>
      </c>
      <c r="F113" s="20">
        <v>29075</v>
      </c>
      <c r="G113" s="20">
        <v>43816</v>
      </c>
      <c r="H113" s="12" t="s">
        <v>5</v>
      </c>
      <c r="I113" s="21" t="str">
        <f>IF(Tabela1[[#This Row],[Data de Saída]]="","",PROPER(TEXT(Tabela1[[#This Row],[Data de Saída]],"mmm")))</f>
        <v>Mar</v>
      </c>
      <c r="J113" s="21" t="str">
        <f>IF(Tabela1[[#This Row],[Data de Saída]]="","",PROPER(TEXT(Tabela1[[#This Row],[Data de Saída]],"aaaa")))</f>
        <v>2021</v>
      </c>
      <c r="K113" s="27" t="str">
        <f>IF(Tabela1[[#This Row],[Data Admissão]]="","",PROPER(TEXT(Tabela1[[#This Row],[Data Admissão]],"mmm")))</f>
        <v>Dez</v>
      </c>
      <c r="L113" s="21" t="str">
        <f>IF(Tabela1[[#This Row],[Data Admissão]]="","",PROPER(TEXT(Tabela1[[#This Row],[Data Admissão]],"aaaa")))</f>
        <v>2019</v>
      </c>
      <c r="M113" s="12" t="s">
        <v>597</v>
      </c>
      <c r="N113" s="22" t="str">
        <f>IFERROR(IF(Tabela1[[#This Row],[Data de Saída]]="","ATIVO","-"),"-")</f>
        <v>-</v>
      </c>
    </row>
    <row r="114" spans="5:14" ht="24.95" customHeight="1" x14ac:dyDescent="0.2">
      <c r="E114" s="26" t="s">
        <v>320</v>
      </c>
      <c r="F114" s="20">
        <v>35906</v>
      </c>
      <c r="G114" s="20">
        <v>43816</v>
      </c>
      <c r="H114" s="12" t="s">
        <v>49</v>
      </c>
      <c r="I114" s="21" t="str">
        <f>IF(Tabela1[[#This Row],[Data de Saída]]="","",PROPER(TEXT(Tabela1[[#This Row],[Data de Saída]],"mmm")))</f>
        <v>Jan</v>
      </c>
      <c r="J114" s="21" t="str">
        <f>IF(Tabela1[[#This Row],[Data de Saída]]="","",PROPER(TEXT(Tabela1[[#This Row],[Data de Saída]],"aaaa")))</f>
        <v>2020</v>
      </c>
      <c r="K114" s="27" t="str">
        <f>IF(Tabela1[[#This Row],[Data Admissão]]="","",PROPER(TEXT(Tabela1[[#This Row],[Data Admissão]],"mmm")))</f>
        <v>Dez</v>
      </c>
      <c r="L114" s="21" t="str">
        <f>IF(Tabela1[[#This Row],[Data Admissão]]="","",PROPER(TEXT(Tabela1[[#This Row],[Data Admissão]],"aaaa")))</f>
        <v>2019</v>
      </c>
      <c r="M114" s="12" t="s">
        <v>598</v>
      </c>
      <c r="N114" s="22" t="str">
        <f>IFERROR(IF(Tabela1[[#This Row],[Data de Saída]]="","ATIVO","-"),"-")</f>
        <v>-</v>
      </c>
    </row>
    <row r="115" spans="5:14" ht="24.95" customHeight="1" x14ac:dyDescent="0.2">
      <c r="E115" s="26" t="s">
        <v>321</v>
      </c>
      <c r="F115" s="20">
        <v>36705</v>
      </c>
      <c r="G115" s="20">
        <v>43816</v>
      </c>
      <c r="H115" s="12" t="s">
        <v>49</v>
      </c>
      <c r="I115" s="21" t="str">
        <f>IF(Tabela1[[#This Row],[Data de Saída]]="","",PROPER(TEXT(Tabela1[[#This Row],[Data de Saída]],"mmm")))</f>
        <v>Jan</v>
      </c>
      <c r="J115" s="21" t="str">
        <f>IF(Tabela1[[#This Row],[Data de Saída]]="","",PROPER(TEXT(Tabela1[[#This Row],[Data de Saída]],"aaaa")))</f>
        <v>2020</v>
      </c>
      <c r="K115" s="27" t="str">
        <f>IF(Tabela1[[#This Row],[Data Admissão]]="","",PROPER(TEXT(Tabela1[[#This Row],[Data Admissão]],"mmm")))</f>
        <v>Dez</v>
      </c>
      <c r="L115" s="21" t="str">
        <f>IF(Tabela1[[#This Row],[Data Admissão]]="","",PROPER(TEXT(Tabela1[[#This Row],[Data Admissão]],"aaaa")))</f>
        <v>2019</v>
      </c>
      <c r="M115" s="12" t="s">
        <v>599</v>
      </c>
      <c r="N115" s="22" t="str">
        <f>IFERROR(IF(Tabela1[[#This Row],[Data de Saída]]="","ATIVO","-"),"-")</f>
        <v>-</v>
      </c>
    </row>
    <row r="116" spans="5:14" ht="24.95" customHeight="1" x14ac:dyDescent="0.2">
      <c r="E116" s="26" t="s">
        <v>322</v>
      </c>
      <c r="F116" s="20">
        <v>36123</v>
      </c>
      <c r="G116" s="20">
        <v>43816</v>
      </c>
      <c r="H116" s="12"/>
      <c r="I116" s="21" t="str">
        <f>IF(Tabela1[[#This Row],[Data de Saída]]="","",PROPER(TEXT(Tabela1[[#This Row],[Data de Saída]],"mmm")))</f>
        <v/>
      </c>
      <c r="J116" s="21" t="str">
        <f>IF(Tabela1[[#This Row],[Data de Saída]]="","",PROPER(TEXT(Tabela1[[#This Row],[Data de Saída]],"aaaa")))</f>
        <v/>
      </c>
      <c r="K116" s="27" t="str">
        <f>IF(Tabela1[[#This Row],[Data Admissão]]="","",PROPER(TEXT(Tabela1[[#This Row],[Data Admissão]],"mmm")))</f>
        <v>Dez</v>
      </c>
      <c r="L116" s="21" t="str">
        <f>IF(Tabela1[[#This Row],[Data Admissão]]="","",PROPER(TEXT(Tabela1[[#This Row],[Data Admissão]],"aaaa")))</f>
        <v>2019</v>
      </c>
      <c r="M116" s="12" t="s">
        <v>599</v>
      </c>
      <c r="N116" s="22" t="str">
        <f>IFERROR(IF(Tabela1[[#This Row],[Data de Saída]]="","ATIVO","-"),"-")</f>
        <v>ATIVO</v>
      </c>
    </row>
    <row r="117" spans="5:14" ht="24.95" customHeight="1" x14ac:dyDescent="0.2">
      <c r="E117" s="26" t="s">
        <v>323</v>
      </c>
      <c r="F117" s="20">
        <v>35935</v>
      </c>
      <c r="G117" s="20">
        <v>43816</v>
      </c>
      <c r="H117" s="12" t="s">
        <v>49</v>
      </c>
      <c r="I117" s="21" t="str">
        <f>IF(Tabela1[[#This Row],[Data de Saída]]="","",PROPER(TEXT(Tabela1[[#This Row],[Data de Saída]],"mmm")))</f>
        <v>Jan</v>
      </c>
      <c r="J117" s="21" t="str">
        <f>IF(Tabela1[[#This Row],[Data de Saída]]="","",PROPER(TEXT(Tabela1[[#This Row],[Data de Saída]],"aaaa")))</f>
        <v>2020</v>
      </c>
      <c r="K117" s="27" t="str">
        <f>IF(Tabela1[[#This Row],[Data Admissão]]="","",PROPER(TEXT(Tabela1[[#This Row],[Data Admissão]],"mmm")))</f>
        <v>Dez</v>
      </c>
      <c r="L117" s="21" t="str">
        <f>IF(Tabela1[[#This Row],[Data Admissão]]="","",PROPER(TEXT(Tabela1[[#This Row],[Data Admissão]],"aaaa")))</f>
        <v>2019</v>
      </c>
      <c r="M117" s="12" t="s">
        <v>599</v>
      </c>
      <c r="N117" s="22" t="str">
        <f>IFERROR(IF(Tabela1[[#This Row],[Data de Saída]]="","ATIVO","-"),"-")</f>
        <v>-</v>
      </c>
    </row>
    <row r="118" spans="5:14" ht="24.95" customHeight="1" x14ac:dyDescent="0.2">
      <c r="E118" s="26" t="s">
        <v>324</v>
      </c>
      <c r="F118" s="20">
        <v>33692</v>
      </c>
      <c r="G118" s="20">
        <v>43816</v>
      </c>
      <c r="H118" s="12" t="s">
        <v>55</v>
      </c>
      <c r="I118" s="21" t="str">
        <f>IF(Tabela1[[#This Row],[Data de Saída]]="","",PROPER(TEXT(Tabela1[[#This Row],[Data de Saída]],"mmm")))</f>
        <v>Set</v>
      </c>
      <c r="J118" s="21" t="str">
        <f>IF(Tabela1[[#This Row],[Data de Saída]]="","",PROPER(TEXT(Tabela1[[#This Row],[Data de Saída]],"aaaa")))</f>
        <v>2020</v>
      </c>
      <c r="K118" s="27" t="str">
        <f>IF(Tabela1[[#This Row],[Data Admissão]]="","",PROPER(TEXT(Tabela1[[#This Row],[Data Admissão]],"mmm")))</f>
        <v>Dez</v>
      </c>
      <c r="L118" s="21" t="str">
        <f>IF(Tabela1[[#This Row],[Data Admissão]]="","",PROPER(TEXT(Tabela1[[#This Row],[Data Admissão]],"aaaa")))</f>
        <v>2019</v>
      </c>
      <c r="M118" s="12" t="s">
        <v>599</v>
      </c>
      <c r="N118" s="22" t="str">
        <f>IFERROR(IF(Tabela1[[#This Row],[Data de Saída]]="","ATIVO","-"),"-")</f>
        <v>-</v>
      </c>
    </row>
    <row r="119" spans="5:14" ht="24.95" customHeight="1" x14ac:dyDescent="0.2">
      <c r="E119" s="26" t="s">
        <v>325</v>
      </c>
      <c r="F119" s="20">
        <v>31770</v>
      </c>
      <c r="G119" s="20">
        <v>43816</v>
      </c>
      <c r="H119" s="12" t="s">
        <v>49</v>
      </c>
      <c r="I119" s="21" t="str">
        <f>IF(Tabela1[[#This Row],[Data de Saída]]="","",PROPER(TEXT(Tabela1[[#This Row],[Data de Saída]],"mmm")))</f>
        <v>Jan</v>
      </c>
      <c r="J119" s="21" t="str">
        <f>IF(Tabela1[[#This Row],[Data de Saída]]="","",PROPER(TEXT(Tabela1[[#This Row],[Data de Saída]],"aaaa")))</f>
        <v>2020</v>
      </c>
      <c r="K119" s="27" t="str">
        <f>IF(Tabela1[[#This Row],[Data Admissão]]="","",PROPER(TEXT(Tabela1[[#This Row],[Data Admissão]],"mmm")))</f>
        <v>Dez</v>
      </c>
      <c r="L119" s="21" t="str">
        <f>IF(Tabela1[[#This Row],[Data Admissão]]="","",PROPER(TEXT(Tabela1[[#This Row],[Data Admissão]],"aaaa")))</f>
        <v>2019</v>
      </c>
      <c r="M119" s="12" t="s">
        <v>600</v>
      </c>
      <c r="N119" s="22" t="str">
        <f>IFERROR(IF(Tabela1[[#This Row],[Data de Saída]]="","ATIVO","-"),"-")</f>
        <v>-</v>
      </c>
    </row>
    <row r="120" spans="5:14" ht="24.95" customHeight="1" x14ac:dyDescent="0.2">
      <c r="E120" s="26" t="s">
        <v>326</v>
      </c>
      <c r="F120" s="20">
        <v>36150</v>
      </c>
      <c r="G120" s="20">
        <v>43816</v>
      </c>
      <c r="H120" s="12" t="s">
        <v>169</v>
      </c>
      <c r="I120" s="21" t="str">
        <f>IF(Tabela1[[#This Row],[Data de Saída]]="","",PROPER(TEXT(Tabela1[[#This Row],[Data de Saída]],"mmm")))</f>
        <v>Set</v>
      </c>
      <c r="J120" s="21" t="str">
        <f>IF(Tabela1[[#This Row],[Data de Saída]]="","",PROPER(TEXT(Tabela1[[#This Row],[Data de Saída]],"aaaa")))</f>
        <v>2020</v>
      </c>
      <c r="K120" s="27" t="str">
        <f>IF(Tabela1[[#This Row],[Data Admissão]]="","",PROPER(TEXT(Tabela1[[#This Row],[Data Admissão]],"mmm")))</f>
        <v>Dez</v>
      </c>
      <c r="L120" s="21" t="str">
        <f>IF(Tabela1[[#This Row],[Data Admissão]]="","",PROPER(TEXT(Tabela1[[#This Row],[Data Admissão]],"aaaa")))</f>
        <v>2019</v>
      </c>
      <c r="M120" s="12" t="s">
        <v>601</v>
      </c>
      <c r="N120" s="22" t="str">
        <f>IFERROR(IF(Tabela1[[#This Row],[Data de Saída]]="","ATIVO","-"),"-")</f>
        <v>-</v>
      </c>
    </row>
    <row r="121" spans="5:14" ht="24.95" customHeight="1" x14ac:dyDescent="0.2">
      <c r="E121" s="26" t="s">
        <v>327</v>
      </c>
      <c r="F121" s="20">
        <v>26235</v>
      </c>
      <c r="G121" s="20">
        <v>43816</v>
      </c>
      <c r="H121" s="12" t="s">
        <v>173</v>
      </c>
      <c r="I121" s="21" t="str">
        <f>IF(Tabela1[[#This Row],[Data de Saída]]="","",PROPER(TEXT(Tabela1[[#This Row],[Data de Saída]],"mmm")))</f>
        <v>Set</v>
      </c>
      <c r="J121" s="21" t="str">
        <f>IF(Tabela1[[#This Row],[Data de Saída]]="","",PROPER(TEXT(Tabela1[[#This Row],[Data de Saída]],"aaaa")))</f>
        <v>2020</v>
      </c>
      <c r="K121" s="27" t="str">
        <f>IF(Tabela1[[#This Row],[Data Admissão]]="","",PROPER(TEXT(Tabela1[[#This Row],[Data Admissão]],"mmm")))</f>
        <v>Dez</v>
      </c>
      <c r="L121" s="21" t="str">
        <f>IF(Tabela1[[#This Row],[Data Admissão]]="","",PROPER(TEXT(Tabela1[[#This Row],[Data Admissão]],"aaaa")))</f>
        <v>2019</v>
      </c>
      <c r="M121" s="12" t="s">
        <v>602</v>
      </c>
      <c r="N121" s="22" t="str">
        <f>IFERROR(IF(Tabela1[[#This Row],[Data de Saída]]="","ATIVO","-"),"-")</f>
        <v>-</v>
      </c>
    </row>
    <row r="122" spans="5:14" ht="24.95" customHeight="1" x14ac:dyDescent="0.2">
      <c r="E122" s="26" t="s">
        <v>328</v>
      </c>
      <c r="F122" s="20">
        <v>32516</v>
      </c>
      <c r="G122" s="20">
        <v>43857</v>
      </c>
      <c r="H122" s="12" t="s">
        <v>152</v>
      </c>
      <c r="I122" s="21" t="str">
        <f>IF(Tabela1[[#This Row],[Data de Saída]]="","",PROPER(TEXT(Tabela1[[#This Row],[Data de Saída]],"mmm")))</f>
        <v>Out</v>
      </c>
      <c r="J122" s="21" t="str">
        <f>IF(Tabela1[[#This Row],[Data de Saída]]="","",PROPER(TEXT(Tabela1[[#This Row],[Data de Saída]],"aaaa")))</f>
        <v>2020</v>
      </c>
      <c r="K122" s="27" t="str">
        <f>IF(Tabela1[[#This Row],[Data Admissão]]="","",PROPER(TEXT(Tabela1[[#This Row],[Data Admissão]],"mmm")))</f>
        <v>Jan</v>
      </c>
      <c r="L122" s="21" t="str">
        <f>IF(Tabela1[[#This Row],[Data Admissão]]="","",PROPER(TEXT(Tabela1[[#This Row],[Data Admissão]],"aaaa")))</f>
        <v>2020</v>
      </c>
      <c r="M122" s="12" t="s">
        <v>594</v>
      </c>
      <c r="N122" s="22" t="str">
        <f>IFERROR(IF(Tabela1[[#This Row],[Data de Saída]]="","ATIVO","-"),"-")</f>
        <v>-</v>
      </c>
    </row>
    <row r="123" spans="5:14" ht="24.95" customHeight="1" x14ac:dyDescent="0.2">
      <c r="E123" s="26" t="s">
        <v>329</v>
      </c>
      <c r="F123" s="20">
        <v>36897</v>
      </c>
      <c r="G123" s="20">
        <v>43864</v>
      </c>
      <c r="H123" s="12" t="s">
        <v>27</v>
      </c>
      <c r="I123" s="21" t="str">
        <f>IF(Tabela1[[#This Row],[Data de Saída]]="","",PROPER(TEXT(Tabela1[[#This Row],[Data de Saída]],"mmm")))</f>
        <v>Jun</v>
      </c>
      <c r="J123" s="21" t="str">
        <f>IF(Tabela1[[#This Row],[Data de Saída]]="","",PROPER(TEXT(Tabela1[[#This Row],[Data de Saída]],"aaaa")))</f>
        <v>2021</v>
      </c>
      <c r="K123" s="27" t="str">
        <f>IF(Tabela1[[#This Row],[Data Admissão]]="","",PROPER(TEXT(Tabela1[[#This Row],[Data Admissão]],"mmm")))</f>
        <v>Fev</v>
      </c>
      <c r="L123" s="21" t="str">
        <f>IF(Tabela1[[#This Row],[Data Admissão]]="","",PROPER(TEXT(Tabela1[[#This Row],[Data Admissão]],"aaaa")))</f>
        <v>2020</v>
      </c>
      <c r="M123" s="12" t="s">
        <v>594</v>
      </c>
      <c r="N123" s="22" t="str">
        <f>IFERROR(IF(Tabela1[[#This Row],[Data de Saída]]="","ATIVO","-"),"-")</f>
        <v>-</v>
      </c>
    </row>
    <row r="124" spans="5:14" ht="24.95" customHeight="1" x14ac:dyDescent="0.2">
      <c r="E124" s="26" t="s">
        <v>330</v>
      </c>
      <c r="F124" s="20">
        <v>36359</v>
      </c>
      <c r="G124" s="20">
        <v>43881</v>
      </c>
      <c r="H124" s="12" t="s">
        <v>13</v>
      </c>
      <c r="I124" s="21" t="str">
        <f>IF(Tabela1[[#This Row],[Data de Saída]]="","",PROPER(TEXT(Tabela1[[#This Row],[Data de Saída]],"mmm")))</f>
        <v>Jul</v>
      </c>
      <c r="J124" s="21" t="str">
        <f>IF(Tabela1[[#This Row],[Data de Saída]]="","",PROPER(TEXT(Tabela1[[#This Row],[Data de Saída]],"aaaa")))</f>
        <v>2020</v>
      </c>
      <c r="K124" s="27" t="str">
        <f>IF(Tabela1[[#This Row],[Data Admissão]]="","",PROPER(TEXT(Tabela1[[#This Row],[Data Admissão]],"mmm")))</f>
        <v>Fev</v>
      </c>
      <c r="L124" s="21" t="str">
        <f>IF(Tabela1[[#This Row],[Data Admissão]]="","",PROPER(TEXT(Tabela1[[#This Row],[Data Admissão]],"aaaa")))</f>
        <v>2020</v>
      </c>
      <c r="M124" s="12" t="s">
        <v>595</v>
      </c>
      <c r="N124" s="22" t="str">
        <f>IFERROR(IF(Tabela1[[#This Row],[Data de Saída]]="","ATIVO","-"),"-")</f>
        <v>-</v>
      </c>
    </row>
    <row r="125" spans="5:14" ht="24.95" customHeight="1" x14ac:dyDescent="0.2">
      <c r="E125" s="26" t="s">
        <v>331</v>
      </c>
      <c r="F125" s="20">
        <v>34590</v>
      </c>
      <c r="G125" s="20">
        <v>43881</v>
      </c>
      <c r="H125" s="12" t="s">
        <v>86</v>
      </c>
      <c r="I125" s="21" t="str">
        <f>IF(Tabela1[[#This Row],[Data de Saída]]="","",PROPER(TEXT(Tabela1[[#This Row],[Data de Saída]],"mmm")))</f>
        <v>Abr</v>
      </c>
      <c r="J125" s="21" t="str">
        <f>IF(Tabela1[[#This Row],[Data de Saída]]="","",PROPER(TEXT(Tabela1[[#This Row],[Data de Saída]],"aaaa")))</f>
        <v>2020</v>
      </c>
      <c r="K125" s="27" t="str">
        <f>IF(Tabela1[[#This Row],[Data Admissão]]="","",PROPER(TEXT(Tabela1[[#This Row],[Data Admissão]],"mmm")))</f>
        <v>Fev</v>
      </c>
      <c r="L125" s="21" t="str">
        <f>IF(Tabela1[[#This Row],[Data Admissão]]="","",PROPER(TEXT(Tabela1[[#This Row],[Data Admissão]],"aaaa")))</f>
        <v>2020</v>
      </c>
      <c r="M125" s="12" t="s">
        <v>596</v>
      </c>
      <c r="N125" s="22" t="str">
        <f>IFERROR(IF(Tabela1[[#This Row],[Data de Saída]]="","ATIVO","-"),"-")</f>
        <v>-</v>
      </c>
    </row>
    <row r="126" spans="5:14" ht="24.95" customHeight="1" x14ac:dyDescent="0.2">
      <c r="E126" s="26" t="s">
        <v>332</v>
      </c>
      <c r="F126" s="20">
        <v>28802</v>
      </c>
      <c r="G126" s="20">
        <v>43881</v>
      </c>
      <c r="H126" s="12" t="s">
        <v>102</v>
      </c>
      <c r="I126" s="21" t="str">
        <f>IF(Tabela1[[#This Row],[Data de Saída]]="","",PROPER(TEXT(Tabela1[[#This Row],[Data de Saída]],"mmm")))</f>
        <v>Mar</v>
      </c>
      <c r="J126" s="21" t="str">
        <f>IF(Tabela1[[#This Row],[Data de Saída]]="","",PROPER(TEXT(Tabela1[[#This Row],[Data de Saída]],"aaaa")))</f>
        <v>2022</v>
      </c>
      <c r="K126" s="27" t="str">
        <f>IF(Tabela1[[#This Row],[Data Admissão]]="","",PROPER(TEXT(Tabela1[[#This Row],[Data Admissão]],"mmm")))</f>
        <v>Fev</v>
      </c>
      <c r="L126" s="21" t="str">
        <f>IF(Tabela1[[#This Row],[Data Admissão]]="","",PROPER(TEXT(Tabela1[[#This Row],[Data Admissão]],"aaaa")))</f>
        <v>2020</v>
      </c>
      <c r="M126" s="12" t="s">
        <v>597</v>
      </c>
      <c r="N126" s="22" t="str">
        <f>IFERROR(IF(Tabela1[[#This Row],[Data de Saída]]="","ATIVO","-"),"-")</f>
        <v>-</v>
      </c>
    </row>
    <row r="127" spans="5:14" ht="24.95" customHeight="1" x14ac:dyDescent="0.2">
      <c r="E127" s="26" t="s">
        <v>333</v>
      </c>
      <c r="F127" s="20">
        <v>19749</v>
      </c>
      <c r="G127" s="20">
        <v>43892</v>
      </c>
      <c r="H127" s="12"/>
      <c r="I127" s="21" t="str">
        <f>IF(Tabela1[[#This Row],[Data de Saída]]="","",PROPER(TEXT(Tabela1[[#This Row],[Data de Saída]],"mmm")))</f>
        <v/>
      </c>
      <c r="J127" s="21" t="str">
        <f>IF(Tabela1[[#This Row],[Data de Saída]]="","",PROPER(TEXT(Tabela1[[#This Row],[Data de Saída]],"aaaa")))</f>
        <v/>
      </c>
      <c r="K127" s="27" t="str">
        <f>IF(Tabela1[[#This Row],[Data Admissão]]="","",PROPER(TEXT(Tabela1[[#This Row],[Data Admissão]],"mmm")))</f>
        <v>Mar</v>
      </c>
      <c r="L127" s="21" t="str">
        <f>IF(Tabela1[[#This Row],[Data Admissão]]="","",PROPER(TEXT(Tabela1[[#This Row],[Data Admissão]],"aaaa")))</f>
        <v>2020</v>
      </c>
      <c r="M127" s="12" t="s">
        <v>598</v>
      </c>
      <c r="N127" s="22" t="str">
        <f>IFERROR(IF(Tabela1[[#This Row],[Data de Saída]]="","ATIVO","-"),"-")</f>
        <v>ATIVO</v>
      </c>
    </row>
    <row r="128" spans="5:14" ht="24.95" customHeight="1" x14ac:dyDescent="0.2">
      <c r="E128" s="26" t="s">
        <v>334</v>
      </c>
      <c r="F128" s="20">
        <v>34696</v>
      </c>
      <c r="G128" s="20">
        <v>43922</v>
      </c>
      <c r="H128" s="12" t="s">
        <v>17</v>
      </c>
      <c r="I128" s="21" t="str">
        <f>IF(Tabela1[[#This Row],[Data de Saída]]="","",PROPER(TEXT(Tabela1[[#This Row],[Data de Saída]],"mmm")))</f>
        <v>Jun</v>
      </c>
      <c r="J128" s="21" t="str">
        <f>IF(Tabela1[[#This Row],[Data de Saída]]="","",PROPER(TEXT(Tabela1[[#This Row],[Data de Saída]],"aaaa")))</f>
        <v>2020</v>
      </c>
      <c r="K128" s="27" t="str">
        <f>IF(Tabela1[[#This Row],[Data Admissão]]="","",PROPER(TEXT(Tabela1[[#This Row],[Data Admissão]],"mmm")))</f>
        <v>Abr</v>
      </c>
      <c r="L128" s="21" t="str">
        <f>IF(Tabela1[[#This Row],[Data Admissão]]="","",PROPER(TEXT(Tabela1[[#This Row],[Data Admissão]],"aaaa")))</f>
        <v>2020</v>
      </c>
      <c r="M128" s="12" t="s">
        <v>599</v>
      </c>
      <c r="N128" s="22" t="str">
        <f>IFERROR(IF(Tabela1[[#This Row],[Data de Saída]]="","ATIVO","-"),"-")</f>
        <v>-</v>
      </c>
    </row>
    <row r="129" spans="5:14" ht="24.95" customHeight="1" x14ac:dyDescent="0.2">
      <c r="E129" s="26" t="s">
        <v>335</v>
      </c>
      <c r="F129" s="20">
        <v>35609</v>
      </c>
      <c r="G129" s="20">
        <v>43922</v>
      </c>
      <c r="H129" s="12" t="s">
        <v>14</v>
      </c>
      <c r="I129" s="21" t="str">
        <f>IF(Tabela1[[#This Row],[Data de Saída]]="","",PROPER(TEXT(Tabela1[[#This Row],[Data de Saída]],"mmm")))</f>
        <v>Abr</v>
      </c>
      <c r="J129" s="21" t="str">
        <f>IF(Tabela1[[#This Row],[Data de Saída]]="","",PROPER(TEXT(Tabela1[[#This Row],[Data de Saída]],"aaaa")))</f>
        <v>2022</v>
      </c>
      <c r="K129" s="27" t="str">
        <f>IF(Tabela1[[#This Row],[Data Admissão]]="","",PROPER(TEXT(Tabela1[[#This Row],[Data Admissão]],"mmm")))</f>
        <v>Abr</v>
      </c>
      <c r="L129" s="21" t="str">
        <f>IF(Tabela1[[#This Row],[Data Admissão]]="","",PROPER(TEXT(Tabela1[[#This Row],[Data Admissão]],"aaaa")))</f>
        <v>2020</v>
      </c>
      <c r="M129" s="12" t="s">
        <v>599</v>
      </c>
      <c r="N129" s="22" t="str">
        <f>IFERROR(IF(Tabela1[[#This Row],[Data de Saída]]="","ATIVO","-"),"-")</f>
        <v>-</v>
      </c>
    </row>
    <row r="130" spans="5:14" ht="24.95" customHeight="1" x14ac:dyDescent="0.2">
      <c r="E130" s="26" t="s">
        <v>336</v>
      </c>
      <c r="F130" s="20">
        <v>32216</v>
      </c>
      <c r="G130" s="20">
        <v>43922</v>
      </c>
      <c r="H130" s="12" t="s">
        <v>59</v>
      </c>
      <c r="I130" s="21" t="str">
        <f>IF(Tabela1[[#This Row],[Data de Saída]]="","",PROPER(TEXT(Tabela1[[#This Row],[Data de Saída]],"mmm")))</f>
        <v>Abr</v>
      </c>
      <c r="J130" s="21" t="str">
        <f>IF(Tabela1[[#This Row],[Data de Saída]]="","",PROPER(TEXT(Tabela1[[#This Row],[Data de Saída]],"aaaa")))</f>
        <v>2020</v>
      </c>
      <c r="K130" s="27" t="str">
        <f>IF(Tabela1[[#This Row],[Data Admissão]]="","",PROPER(TEXT(Tabela1[[#This Row],[Data Admissão]],"mmm")))</f>
        <v>Abr</v>
      </c>
      <c r="L130" s="21" t="str">
        <f>IF(Tabela1[[#This Row],[Data Admissão]]="","",PROPER(TEXT(Tabela1[[#This Row],[Data Admissão]],"aaaa")))</f>
        <v>2020</v>
      </c>
      <c r="M130" s="12" t="s">
        <v>599</v>
      </c>
      <c r="N130" s="22" t="str">
        <f>IFERROR(IF(Tabela1[[#This Row],[Data de Saída]]="","ATIVO","-"),"-")</f>
        <v>-</v>
      </c>
    </row>
    <row r="131" spans="5:14" ht="24.95" customHeight="1" x14ac:dyDescent="0.2">
      <c r="E131" s="26" t="s">
        <v>337</v>
      </c>
      <c r="F131" s="20">
        <v>35333</v>
      </c>
      <c r="G131" s="20">
        <v>43922</v>
      </c>
      <c r="H131" s="12" t="s">
        <v>13</v>
      </c>
      <c r="I131" s="21" t="str">
        <f>IF(Tabela1[[#This Row],[Data de Saída]]="","",PROPER(TEXT(Tabela1[[#This Row],[Data de Saída]],"mmm")))</f>
        <v>Jul</v>
      </c>
      <c r="J131" s="21" t="str">
        <f>IF(Tabela1[[#This Row],[Data de Saída]]="","",PROPER(TEXT(Tabela1[[#This Row],[Data de Saída]],"aaaa")))</f>
        <v>2020</v>
      </c>
      <c r="K131" s="27" t="str">
        <f>IF(Tabela1[[#This Row],[Data Admissão]]="","",PROPER(TEXT(Tabela1[[#This Row],[Data Admissão]],"mmm")))</f>
        <v>Abr</v>
      </c>
      <c r="L131" s="21" t="str">
        <f>IF(Tabela1[[#This Row],[Data Admissão]]="","",PROPER(TEXT(Tabela1[[#This Row],[Data Admissão]],"aaaa")))</f>
        <v>2020</v>
      </c>
      <c r="M131" s="12" t="s">
        <v>599</v>
      </c>
      <c r="N131" s="22" t="str">
        <f>IFERROR(IF(Tabela1[[#This Row],[Data de Saída]]="","ATIVO","-"),"-")</f>
        <v>-</v>
      </c>
    </row>
    <row r="132" spans="5:14" ht="24.95" customHeight="1" x14ac:dyDescent="0.2">
      <c r="E132" s="26" t="s">
        <v>338</v>
      </c>
      <c r="F132" s="20">
        <v>35433</v>
      </c>
      <c r="G132" s="20">
        <v>43922</v>
      </c>
      <c r="H132" s="12" t="s">
        <v>20</v>
      </c>
      <c r="I132" s="21" t="str">
        <f>IF(Tabela1[[#This Row],[Data de Saída]]="","",PROPER(TEXT(Tabela1[[#This Row],[Data de Saída]],"mmm")))</f>
        <v>Fev</v>
      </c>
      <c r="J132" s="21" t="str">
        <f>IF(Tabela1[[#This Row],[Data de Saída]]="","",PROPER(TEXT(Tabela1[[#This Row],[Data de Saída]],"aaaa")))</f>
        <v>2021</v>
      </c>
      <c r="K132" s="27" t="str">
        <f>IF(Tabela1[[#This Row],[Data Admissão]]="","",PROPER(TEXT(Tabela1[[#This Row],[Data Admissão]],"mmm")))</f>
        <v>Abr</v>
      </c>
      <c r="L132" s="21" t="str">
        <f>IF(Tabela1[[#This Row],[Data Admissão]]="","",PROPER(TEXT(Tabela1[[#This Row],[Data Admissão]],"aaaa")))</f>
        <v>2020</v>
      </c>
      <c r="M132" s="12" t="s">
        <v>600</v>
      </c>
      <c r="N132" s="22" t="str">
        <f>IFERROR(IF(Tabela1[[#This Row],[Data de Saída]]="","ATIVO","-"),"-")</f>
        <v>-</v>
      </c>
    </row>
    <row r="133" spans="5:14" ht="24.95" customHeight="1" x14ac:dyDescent="0.2">
      <c r="E133" s="26" t="s">
        <v>339</v>
      </c>
      <c r="F133" s="20">
        <v>30616</v>
      </c>
      <c r="G133" s="20">
        <v>43922</v>
      </c>
      <c r="H133" s="12" t="s">
        <v>106</v>
      </c>
      <c r="I133" s="21" t="str">
        <f>IF(Tabela1[[#This Row],[Data de Saída]]="","",PROPER(TEXT(Tabela1[[#This Row],[Data de Saída]],"mmm")))</f>
        <v>Out</v>
      </c>
      <c r="J133" s="21" t="str">
        <f>IF(Tabela1[[#This Row],[Data de Saída]]="","",PROPER(TEXT(Tabela1[[#This Row],[Data de Saída]],"aaaa")))</f>
        <v>2020</v>
      </c>
      <c r="K133" s="27" t="str">
        <f>IF(Tabela1[[#This Row],[Data Admissão]]="","",PROPER(TEXT(Tabela1[[#This Row],[Data Admissão]],"mmm")))</f>
        <v>Abr</v>
      </c>
      <c r="L133" s="21" t="str">
        <f>IF(Tabela1[[#This Row],[Data Admissão]]="","",PROPER(TEXT(Tabela1[[#This Row],[Data Admissão]],"aaaa")))</f>
        <v>2020</v>
      </c>
      <c r="M133" s="12" t="s">
        <v>601</v>
      </c>
      <c r="N133" s="22" t="str">
        <f>IFERROR(IF(Tabela1[[#This Row],[Data de Saída]]="","ATIVO","-"),"-")</f>
        <v>-</v>
      </c>
    </row>
    <row r="134" spans="5:14" ht="24.95" customHeight="1" x14ac:dyDescent="0.2">
      <c r="E134" s="26" t="s">
        <v>340</v>
      </c>
      <c r="F134" s="20">
        <v>31842</v>
      </c>
      <c r="G134" s="20">
        <v>43923</v>
      </c>
      <c r="H134" s="12" t="s">
        <v>6</v>
      </c>
      <c r="I134" s="21" t="str">
        <f>IF(Tabela1[[#This Row],[Data de Saída]]="","",PROPER(TEXT(Tabela1[[#This Row],[Data de Saída]],"mmm")))</f>
        <v>Fev</v>
      </c>
      <c r="J134" s="21" t="str">
        <f>IF(Tabela1[[#This Row],[Data de Saída]]="","",PROPER(TEXT(Tabela1[[#This Row],[Data de Saída]],"aaaa")))</f>
        <v>2022</v>
      </c>
      <c r="K134" s="27" t="str">
        <f>IF(Tabela1[[#This Row],[Data Admissão]]="","",PROPER(TEXT(Tabela1[[#This Row],[Data Admissão]],"mmm")))</f>
        <v>Abr</v>
      </c>
      <c r="L134" s="21" t="str">
        <f>IF(Tabela1[[#This Row],[Data Admissão]]="","",PROPER(TEXT(Tabela1[[#This Row],[Data Admissão]],"aaaa")))</f>
        <v>2020</v>
      </c>
      <c r="M134" s="12" t="s">
        <v>602</v>
      </c>
      <c r="N134" s="22" t="str">
        <f>IFERROR(IF(Tabela1[[#This Row],[Data de Saída]]="","ATIVO","-"),"-")</f>
        <v>-</v>
      </c>
    </row>
    <row r="135" spans="5:14" ht="24.95" customHeight="1" x14ac:dyDescent="0.2">
      <c r="E135" s="26" t="s">
        <v>341</v>
      </c>
      <c r="F135" s="20">
        <v>33004</v>
      </c>
      <c r="G135" s="20">
        <v>43923</v>
      </c>
      <c r="H135" s="12" t="s">
        <v>14</v>
      </c>
      <c r="I135" s="21" t="str">
        <f>IF(Tabela1[[#This Row],[Data de Saída]]="","",PROPER(TEXT(Tabela1[[#This Row],[Data de Saída]],"mmm")))</f>
        <v>Abr</v>
      </c>
      <c r="J135" s="21" t="str">
        <f>IF(Tabela1[[#This Row],[Data de Saída]]="","",PROPER(TEXT(Tabela1[[#This Row],[Data de Saída]],"aaaa")))</f>
        <v>2022</v>
      </c>
      <c r="K135" s="27" t="str">
        <f>IF(Tabela1[[#This Row],[Data Admissão]]="","",PROPER(TEXT(Tabela1[[#This Row],[Data Admissão]],"mmm")))</f>
        <v>Abr</v>
      </c>
      <c r="L135" s="21" t="str">
        <f>IF(Tabela1[[#This Row],[Data Admissão]]="","",PROPER(TEXT(Tabela1[[#This Row],[Data Admissão]],"aaaa")))</f>
        <v>2020</v>
      </c>
      <c r="M135" s="12" t="s">
        <v>594</v>
      </c>
      <c r="N135" s="22" t="str">
        <f>IFERROR(IF(Tabela1[[#This Row],[Data de Saída]]="","ATIVO","-"),"-")</f>
        <v>-</v>
      </c>
    </row>
    <row r="136" spans="5:14" ht="24.95" customHeight="1" x14ac:dyDescent="0.2">
      <c r="E136" s="26" t="s">
        <v>342</v>
      </c>
      <c r="F136" s="20">
        <v>35587</v>
      </c>
      <c r="G136" s="20">
        <v>43923</v>
      </c>
      <c r="H136" s="12" t="s">
        <v>22</v>
      </c>
      <c r="I136" s="21" t="str">
        <f>IF(Tabela1[[#This Row],[Data de Saída]]="","",PROPER(TEXT(Tabela1[[#This Row],[Data de Saída]],"mmm")))</f>
        <v>Fev</v>
      </c>
      <c r="J136" s="21" t="str">
        <f>IF(Tabela1[[#This Row],[Data de Saída]]="","",PROPER(TEXT(Tabela1[[#This Row],[Data de Saída]],"aaaa")))</f>
        <v>2023</v>
      </c>
      <c r="K136" s="27" t="str">
        <f>IF(Tabela1[[#This Row],[Data Admissão]]="","",PROPER(TEXT(Tabela1[[#This Row],[Data Admissão]],"mmm")))</f>
        <v>Abr</v>
      </c>
      <c r="L136" s="21" t="str">
        <f>IF(Tabela1[[#This Row],[Data Admissão]]="","",PROPER(TEXT(Tabela1[[#This Row],[Data Admissão]],"aaaa")))</f>
        <v>2020</v>
      </c>
      <c r="M136" s="12" t="s">
        <v>594</v>
      </c>
      <c r="N136" s="22" t="str">
        <f>IFERROR(IF(Tabela1[[#This Row],[Data de Saída]]="","ATIVO","-"),"-")</f>
        <v>-</v>
      </c>
    </row>
    <row r="137" spans="5:14" ht="24.95" customHeight="1" x14ac:dyDescent="0.2">
      <c r="E137" s="26" t="s">
        <v>343</v>
      </c>
      <c r="F137" s="20">
        <v>35475</v>
      </c>
      <c r="G137" s="20">
        <v>43923</v>
      </c>
      <c r="H137" s="12" t="s">
        <v>41</v>
      </c>
      <c r="I137" s="21" t="str">
        <f>IF(Tabela1[[#This Row],[Data de Saída]]="","",PROPER(TEXT(Tabela1[[#This Row],[Data de Saída]],"mmm")))</f>
        <v>Jan</v>
      </c>
      <c r="J137" s="21" t="str">
        <f>IF(Tabela1[[#This Row],[Data de Saída]]="","",PROPER(TEXT(Tabela1[[#This Row],[Data de Saída]],"aaaa")))</f>
        <v>2021</v>
      </c>
      <c r="K137" s="27" t="str">
        <f>IF(Tabela1[[#This Row],[Data Admissão]]="","",PROPER(TEXT(Tabela1[[#This Row],[Data Admissão]],"mmm")))</f>
        <v>Abr</v>
      </c>
      <c r="L137" s="21" t="str">
        <f>IF(Tabela1[[#This Row],[Data Admissão]]="","",PROPER(TEXT(Tabela1[[#This Row],[Data Admissão]],"aaaa")))</f>
        <v>2020</v>
      </c>
      <c r="M137" s="12" t="s">
        <v>595</v>
      </c>
      <c r="N137" s="22" t="str">
        <f>IFERROR(IF(Tabela1[[#This Row],[Data de Saída]]="","ATIVO","-"),"-")</f>
        <v>-</v>
      </c>
    </row>
    <row r="138" spans="5:14" ht="24.95" customHeight="1" x14ac:dyDescent="0.2">
      <c r="E138" s="26" t="s">
        <v>344</v>
      </c>
      <c r="F138" s="20">
        <v>35508</v>
      </c>
      <c r="G138" s="20">
        <v>43923</v>
      </c>
      <c r="H138" s="12" t="s">
        <v>55</v>
      </c>
      <c r="I138" s="21" t="str">
        <f>IF(Tabela1[[#This Row],[Data de Saída]]="","",PROPER(TEXT(Tabela1[[#This Row],[Data de Saída]],"mmm")))</f>
        <v>Set</v>
      </c>
      <c r="J138" s="21" t="str">
        <f>IF(Tabela1[[#This Row],[Data de Saída]]="","",PROPER(TEXT(Tabela1[[#This Row],[Data de Saída]],"aaaa")))</f>
        <v>2020</v>
      </c>
      <c r="K138" s="27" t="str">
        <f>IF(Tabela1[[#This Row],[Data Admissão]]="","",PROPER(TEXT(Tabela1[[#This Row],[Data Admissão]],"mmm")))</f>
        <v>Abr</v>
      </c>
      <c r="L138" s="21" t="str">
        <f>IF(Tabela1[[#This Row],[Data Admissão]]="","",PROPER(TEXT(Tabela1[[#This Row],[Data Admissão]],"aaaa")))</f>
        <v>2020</v>
      </c>
      <c r="M138" s="12" t="s">
        <v>596</v>
      </c>
      <c r="N138" s="22" t="str">
        <f>IFERROR(IF(Tabela1[[#This Row],[Data de Saída]]="","ATIVO","-"),"-")</f>
        <v>-</v>
      </c>
    </row>
    <row r="139" spans="5:14" ht="24.95" customHeight="1" x14ac:dyDescent="0.2">
      <c r="E139" s="26" t="s">
        <v>345</v>
      </c>
      <c r="F139" s="20">
        <v>36982</v>
      </c>
      <c r="G139" s="20">
        <v>43923</v>
      </c>
      <c r="H139" s="12" t="s">
        <v>5</v>
      </c>
      <c r="I139" s="21" t="str">
        <f>IF(Tabela1[[#This Row],[Data de Saída]]="","",PROPER(TEXT(Tabela1[[#This Row],[Data de Saída]],"mmm")))</f>
        <v>Mar</v>
      </c>
      <c r="J139" s="21" t="str">
        <f>IF(Tabela1[[#This Row],[Data de Saída]]="","",PROPER(TEXT(Tabela1[[#This Row],[Data de Saída]],"aaaa")))</f>
        <v>2021</v>
      </c>
      <c r="K139" s="27" t="str">
        <f>IF(Tabela1[[#This Row],[Data Admissão]]="","",PROPER(TEXT(Tabela1[[#This Row],[Data Admissão]],"mmm")))</f>
        <v>Abr</v>
      </c>
      <c r="L139" s="21" t="str">
        <f>IF(Tabela1[[#This Row],[Data Admissão]]="","",PROPER(TEXT(Tabela1[[#This Row],[Data Admissão]],"aaaa")))</f>
        <v>2020</v>
      </c>
      <c r="M139" s="12" t="s">
        <v>597</v>
      </c>
      <c r="N139" s="22" t="str">
        <f>IFERROR(IF(Tabela1[[#This Row],[Data de Saída]]="","ATIVO","-"),"-")</f>
        <v>-</v>
      </c>
    </row>
    <row r="140" spans="5:14" ht="24.95" customHeight="1" x14ac:dyDescent="0.2">
      <c r="E140" s="26" t="s">
        <v>346</v>
      </c>
      <c r="F140" s="20">
        <v>31245</v>
      </c>
      <c r="G140" s="20">
        <v>43923</v>
      </c>
      <c r="H140" s="12" t="s">
        <v>5</v>
      </c>
      <c r="I140" s="21" t="str">
        <f>IF(Tabela1[[#This Row],[Data de Saída]]="","",PROPER(TEXT(Tabela1[[#This Row],[Data de Saída]],"mmm")))</f>
        <v>Mar</v>
      </c>
      <c r="J140" s="21" t="str">
        <f>IF(Tabela1[[#This Row],[Data de Saída]]="","",PROPER(TEXT(Tabela1[[#This Row],[Data de Saída]],"aaaa")))</f>
        <v>2021</v>
      </c>
      <c r="K140" s="27" t="str">
        <f>IF(Tabela1[[#This Row],[Data Admissão]]="","",PROPER(TEXT(Tabela1[[#This Row],[Data Admissão]],"mmm")))</f>
        <v>Abr</v>
      </c>
      <c r="L140" s="21" t="str">
        <f>IF(Tabela1[[#This Row],[Data Admissão]]="","",PROPER(TEXT(Tabela1[[#This Row],[Data Admissão]],"aaaa")))</f>
        <v>2020</v>
      </c>
      <c r="M140" s="12" t="s">
        <v>598</v>
      </c>
      <c r="N140" s="22" t="str">
        <f>IFERROR(IF(Tabela1[[#This Row],[Data de Saída]]="","ATIVO","-"),"-")</f>
        <v>-</v>
      </c>
    </row>
    <row r="141" spans="5:14" ht="24.95" customHeight="1" x14ac:dyDescent="0.2">
      <c r="E141" s="26" t="s">
        <v>347</v>
      </c>
      <c r="F141" s="20">
        <v>36862</v>
      </c>
      <c r="G141" s="20">
        <v>43923</v>
      </c>
      <c r="H141" s="12" t="s">
        <v>5</v>
      </c>
      <c r="I141" s="21" t="str">
        <f>IF(Tabela1[[#This Row],[Data de Saída]]="","",PROPER(TEXT(Tabela1[[#This Row],[Data de Saída]],"mmm")))</f>
        <v>Mar</v>
      </c>
      <c r="J141" s="21" t="str">
        <f>IF(Tabela1[[#This Row],[Data de Saída]]="","",PROPER(TEXT(Tabela1[[#This Row],[Data de Saída]],"aaaa")))</f>
        <v>2021</v>
      </c>
      <c r="K141" s="27" t="str">
        <f>IF(Tabela1[[#This Row],[Data Admissão]]="","",PROPER(TEXT(Tabela1[[#This Row],[Data Admissão]],"mmm")))</f>
        <v>Abr</v>
      </c>
      <c r="L141" s="21" t="str">
        <f>IF(Tabela1[[#This Row],[Data Admissão]]="","",PROPER(TEXT(Tabela1[[#This Row],[Data Admissão]],"aaaa")))</f>
        <v>2020</v>
      </c>
      <c r="M141" s="12" t="s">
        <v>599</v>
      </c>
      <c r="N141" s="22" t="str">
        <f>IFERROR(IF(Tabela1[[#This Row],[Data de Saída]]="","ATIVO","-"),"-")</f>
        <v>-</v>
      </c>
    </row>
    <row r="142" spans="5:14" ht="24.95" customHeight="1" x14ac:dyDescent="0.2">
      <c r="E142" s="26" t="s">
        <v>348</v>
      </c>
      <c r="F142" s="20">
        <v>37066</v>
      </c>
      <c r="G142" s="20">
        <v>43924</v>
      </c>
      <c r="H142" s="12" t="s">
        <v>55</v>
      </c>
      <c r="I142" s="21" t="str">
        <f>IF(Tabela1[[#This Row],[Data de Saída]]="","",PROPER(TEXT(Tabela1[[#This Row],[Data de Saída]],"mmm")))</f>
        <v>Set</v>
      </c>
      <c r="J142" s="21" t="str">
        <f>IF(Tabela1[[#This Row],[Data de Saída]]="","",PROPER(TEXT(Tabela1[[#This Row],[Data de Saída]],"aaaa")))</f>
        <v>2020</v>
      </c>
      <c r="K142" s="27" t="str">
        <f>IF(Tabela1[[#This Row],[Data Admissão]]="","",PROPER(TEXT(Tabela1[[#This Row],[Data Admissão]],"mmm")))</f>
        <v>Abr</v>
      </c>
      <c r="L142" s="21" t="str">
        <f>IF(Tabela1[[#This Row],[Data Admissão]]="","",PROPER(TEXT(Tabela1[[#This Row],[Data Admissão]],"aaaa")))</f>
        <v>2020</v>
      </c>
      <c r="M142" s="12" t="s">
        <v>599</v>
      </c>
      <c r="N142" s="22" t="str">
        <f>IFERROR(IF(Tabela1[[#This Row],[Data de Saída]]="","ATIVO","-"),"-")</f>
        <v>-</v>
      </c>
    </row>
    <row r="143" spans="5:14" ht="24.95" customHeight="1" x14ac:dyDescent="0.2">
      <c r="E143" s="26" t="s">
        <v>349</v>
      </c>
      <c r="F143" s="20">
        <v>34879</v>
      </c>
      <c r="G143" s="20">
        <v>43924</v>
      </c>
      <c r="H143" s="12" t="s">
        <v>90</v>
      </c>
      <c r="I143" s="21" t="str">
        <f>IF(Tabela1[[#This Row],[Data de Saída]]="","",PROPER(TEXT(Tabela1[[#This Row],[Data de Saída]],"mmm")))</f>
        <v>Nov</v>
      </c>
      <c r="J143" s="21" t="str">
        <f>IF(Tabela1[[#This Row],[Data de Saída]]="","",PROPER(TEXT(Tabela1[[#This Row],[Data de Saída]],"aaaa")))</f>
        <v>2020</v>
      </c>
      <c r="K143" s="27" t="str">
        <f>IF(Tabela1[[#This Row],[Data Admissão]]="","",PROPER(TEXT(Tabela1[[#This Row],[Data Admissão]],"mmm")))</f>
        <v>Abr</v>
      </c>
      <c r="L143" s="21" t="str">
        <f>IF(Tabela1[[#This Row],[Data Admissão]]="","",PROPER(TEXT(Tabela1[[#This Row],[Data Admissão]],"aaaa")))</f>
        <v>2020</v>
      </c>
      <c r="M143" s="12" t="s">
        <v>599</v>
      </c>
      <c r="N143" s="22" t="str">
        <f>IFERROR(IF(Tabela1[[#This Row],[Data de Saída]]="","ATIVO","-"),"-")</f>
        <v>-</v>
      </c>
    </row>
    <row r="144" spans="5:14" ht="24.95" customHeight="1" x14ac:dyDescent="0.2">
      <c r="E144" s="26" t="s">
        <v>350</v>
      </c>
      <c r="F144" s="20">
        <v>34846</v>
      </c>
      <c r="G144" s="20">
        <v>43924</v>
      </c>
      <c r="H144" s="12" t="s">
        <v>164</v>
      </c>
      <c r="I144" s="21" t="str">
        <f>IF(Tabela1[[#This Row],[Data de Saída]]="","",PROPER(TEXT(Tabela1[[#This Row],[Data de Saída]],"mmm")))</f>
        <v>Nov</v>
      </c>
      <c r="J144" s="21" t="str">
        <f>IF(Tabela1[[#This Row],[Data de Saída]]="","",PROPER(TEXT(Tabela1[[#This Row],[Data de Saída]],"aaaa")))</f>
        <v>2020</v>
      </c>
      <c r="K144" s="27" t="str">
        <f>IF(Tabela1[[#This Row],[Data Admissão]]="","",PROPER(TEXT(Tabela1[[#This Row],[Data Admissão]],"mmm")))</f>
        <v>Abr</v>
      </c>
      <c r="L144" s="21" t="str">
        <f>IF(Tabela1[[#This Row],[Data Admissão]]="","",PROPER(TEXT(Tabela1[[#This Row],[Data Admissão]],"aaaa")))</f>
        <v>2020</v>
      </c>
      <c r="M144" s="12" t="s">
        <v>599</v>
      </c>
      <c r="N144" s="22" t="str">
        <f>IFERROR(IF(Tabela1[[#This Row],[Data de Saída]]="","ATIVO","-"),"-")</f>
        <v>-</v>
      </c>
    </row>
    <row r="145" spans="5:14" ht="24.95" customHeight="1" x14ac:dyDescent="0.2">
      <c r="E145" s="26" t="s">
        <v>351</v>
      </c>
      <c r="F145" s="20">
        <v>30084</v>
      </c>
      <c r="G145" s="20">
        <v>43926</v>
      </c>
      <c r="H145" s="12" t="s">
        <v>116</v>
      </c>
      <c r="I145" s="21" t="str">
        <f>IF(Tabela1[[#This Row],[Data de Saída]]="","",PROPER(TEXT(Tabela1[[#This Row],[Data de Saída]],"mmm")))</f>
        <v>Mai</v>
      </c>
      <c r="J145" s="21" t="str">
        <f>IF(Tabela1[[#This Row],[Data de Saída]]="","",PROPER(TEXT(Tabela1[[#This Row],[Data de Saída]],"aaaa")))</f>
        <v>2021</v>
      </c>
      <c r="K145" s="27" t="str">
        <f>IF(Tabela1[[#This Row],[Data Admissão]]="","",PROPER(TEXT(Tabela1[[#This Row],[Data Admissão]],"mmm")))</f>
        <v>Abr</v>
      </c>
      <c r="L145" s="21" t="str">
        <f>IF(Tabela1[[#This Row],[Data Admissão]]="","",PROPER(TEXT(Tabela1[[#This Row],[Data Admissão]],"aaaa")))</f>
        <v>2020</v>
      </c>
      <c r="M145" s="12" t="s">
        <v>600</v>
      </c>
      <c r="N145" s="22" t="str">
        <f>IFERROR(IF(Tabela1[[#This Row],[Data de Saída]]="","ATIVO","-"),"-")</f>
        <v>-</v>
      </c>
    </row>
    <row r="146" spans="5:14" ht="24.95" customHeight="1" x14ac:dyDescent="0.2">
      <c r="E146" s="26" t="s">
        <v>352</v>
      </c>
      <c r="F146" s="20">
        <v>36705</v>
      </c>
      <c r="G146" s="20">
        <v>43929</v>
      </c>
      <c r="H146" s="12" t="s">
        <v>15</v>
      </c>
      <c r="I146" s="21" t="str">
        <f>IF(Tabela1[[#This Row],[Data de Saída]]="","",PROPER(TEXT(Tabela1[[#This Row],[Data de Saída]],"mmm")))</f>
        <v>Jul</v>
      </c>
      <c r="J146" s="21" t="str">
        <f>IF(Tabela1[[#This Row],[Data de Saída]]="","",PROPER(TEXT(Tabela1[[#This Row],[Data de Saída]],"aaaa")))</f>
        <v>2020</v>
      </c>
      <c r="K146" s="27" t="str">
        <f>IF(Tabela1[[#This Row],[Data Admissão]]="","",PROPER(TEXT(Tabela1[[#This Row],[Data Admissão]],"mmm")))</f>
        <v>Abr</v>
      </c>
      <c r="L146" s="21" t="str">
        <f>IF(Tabela1[[#This Row],[Data Admissão]]="","",PROPER(TEXT(Tabela1[[#This Row],[Data Admissão]],"aaaa")))</f>
        <v>2020</v>
      </c>
      <c r="M146" s="12" t="s">
        <v>601</v>
      </c>
      <c r="N146" s="22" t="str">
        <f>IFERROR(IF(Tabela1[[#This Row],[Data de Saída]]="","ATIVO","-"),"-")</f>
        <v>-</v>
      </c>
    </row>
    <row r="147" spans="5:14" ht="24.95" customHeight="1" x14ac:dyDescent="0.2">
      <c r="E147" s="26" t="s">
        <v>353</v>
      </c>
      <c r="F147" s="20">
        <v>32839</v>
      </c>
      <c r="G147" s="20">
        <v>43929</v>
      </c>
      <c r="H147" s="12" t="s">
        <v>33</v>
      </c>
      <c r="I147" s="21" t="str">
        <f>IF(Tabela1[[#This Row],[Data de Saída]]="","",PROPER(TEXT(Tabela1[[#This Row],[Data de Saída]],"mmm")))</f>
        <v>Mai</v>
      </c>
      <c r="J147" s="21" t="str">
        <f>IF(Tabela1[[#This Row],[Data de Saída]]="","",PROPER(TEXT(Tabela1[[#This Row],[Data de Saída]],"aaaa")))</f>
        <v>2022</v>
      </c>
      <c r="K147" s="27" t="str">
        <f>IF(Tabela1[[#This Row],[Data Admissão]]="","",PROPER(TEXT(Tabela1[[#This Row],[Data Admissão]],"mmm")))</f>
        <v>Abr</v>
      </c>
      <c r="L147" s="21" t="str">
        <f>IF(Tabela1[[#This Row],[Data Admissão]]="","",PROPER(TEXT(Tabela1[[#This Row],[Data Admissão]],"aaaa")))</f>
        <v>2020</v>
      </c>
      <c r="M147" s="12" t="s">
        <v>602</v>
      </c>
      <c r="N147" s="22" t="str">
        <f>IFERROR(IF(Tabela1[[#This Row],[Data de Saída]]="","ATIVO","-"),"-")</f>
        <v>-</v>
      </c>
    </row>
    <row r="148" spans="5:14" ht="24.95" customHeight="1" x14ac:dyDescent="0.2">
      <c r="E148" s="26" t="s">
        <v>354</v>
      </c>
      <c r="F148" s="20">
        <v>35868</v>
      </c>
      <c r="G148" s="20">
        <v>43929</v>
      </c>
      <c r="H148" s="12" t="s">
        <v>15</v>
      </c>
      <c r="I148" s="21" t="str">
        <f>IF(Tabela1[[#This Row],[Data de Saída]]="","",PROPER(TEXT(Tabela1[[#This Row],[Data de Saída]],"mmm")))</f>
        <v>Jul</v>
      </c>
      <c r="J148" s="21" t="str">
        <f>IF(Tabela1[[#This Row],[Data de Saída]]="","",PROPER(TEXT(Tabela1[[#This Row],[Data de Saída]],"aaaa")))</f>
        <v>2020</v>
      </c>
      <c r="K148" s="27" t="str">
        <f>IF(Tabela1[[#This Row],[Data Admissão]]="","",PROPER(TEXT(Tabela1[[#This Row],[Data Admissão]],"mmm")))</f>
        <v>Abr</v>
      </c>
      <c r="L148" s="21" t="str">
        <f>IF(Tabela1[[#This Row],[Data Admissão]]="","",PROPER(TEXT(Tabela1[[#This Row],[Data Admissão]],"aaaa")))</f>
        <v>2020</v>
      </c>
      <c r="M148" s="12" t="s">
        <v>594</v>
      </c>
      <c r="N148" s="22" t="str">
        <f>IFERROR(IF(Tabela1[[#This Row],[Data de Saída]]="","ATIVO","-"),"-")</f>
        <v>-</v>
      </c>
    </row>
    <row r="149" spans="5:14" ht="24.95" customHeight="1" x14ac:dyDescent="0.2">
      <c r="E149" s="26" t="s">
        <v>355</v>
      </c>
      <c r="F149" s="20">
        <v>36561</v>
      </c>
      <c r="G149" s="20">
        <v>43929</v>
      </c>
      <c r="H149" s="12" t="s">
        <v>76</v>
      </c>
      <c r="I149" s="21" t="str">
        <f>IF(Tabela1[[#This Row],[Data de Saída]]="","",PROPER(TEXT(Tabela1[[#This Row],[Data de Saída]],"mmm")))</f>
        <v>Out</v>
      </c>
      <c r="J149" s="21" t="str">
        <f>IF(Tabela1[[#This Row],[Data de Saída]]="","",PROPER(TEXT(Tabela1[[#This Row],[Data de Saída]],"aaaa")))</f>
        <v>2020</v>
      </c>
      <c r="K149" s="27" t="str">
        <f>IF(Tabela1[[#This Row],[Data Admissão]]="","",PROPER(TEXT(Tabela1[[#This Row],[Data Admissão]],"mmm")))</f>
        <v>Abr</v>
      </c>
      <c r="L149" s="21" t="str">
        <f>IF(Tabela1[[#This Row],[Data Admissão]]="","",PROPER(TEXT(Tabela1[[#This Row],[Data Admissão]],"aaaa")))</f>
        <v>2020</v>
      </c>
      <c r="M149" s="12" t="s">
        <v>594</v>
      </c>
      <c r="N149" s="22" t="str">
        <f>IFERROR(IF(Tabela1[[#This Row],[Data de Saída]]="","ATIVO","-"),"-")</f>
        <v>-</v>
      </c>
    </row>
    <row r="150" spans="5:14" ht="24.95" customHeight="1" x14ac:dyDescent="0.2">
      <c r="E150" s="26" t="s">
        <v>356</v>
      </c>
      <c r="F150" s="20">
        <v>37311</v>
      </c>
      <c r="G150" s="20">
        <v>43929</v>
      </c>
      <c r="H150" s="12" t="s">
        <v>15</v>
      </c>
      <c r="I150" s="21" t="str">
        <f>IF(Tabela1[[#This Row],[Data de Saída]]="","",PROPER(TEXT(Tabela1[[#This Row],[Data de Saída]],"mmm")))</f>
        <v>Jul</v>
      </c>
      <c r="J150" s="21" t="str">
        <f>IF(Tabela1[[#This Row],[Data de Saída]]="","",PROPER(TEXT(Tabela1[[#This Row],[Data de Saída]],"aaaa")))</f>
        <v>2020</v>
      </c>
      <c r="K150" s="27" t="str">
        <f>IF(Tabela1[[#This Row],[Data Admissão]]="","",PROPER(TEXT(Tabela1[[#This Row],[Data Admissão]],"mmm")))</f>
        <v>Abr</v>
      </c>
      <c r="L150" s="21" t="str">
        <f>IF(Tabela1[[#This Row],[Data Admissão]]="","",PROPER(TEXT(Tabela1[[#This Row],[Data Admissão]],"aaaa")))</f>
        <v>2020</v>
      </c>
      <c r="M150" s="12" t="s">
        <v>595</v>
      </c>
      <c r="N150" s="22" t="str">
        <f>IFERROR(IF(Tabela1[[#This Row],[Data de Saída]]="","ATIVO","-"),"-")</f>
        <v>-</v>
      </c>
    </row>
    <row r="151" spans="5:14" ht="24.95" customHeight="1" x14ac:dyDescent="0.2">
      <c r="E151" s="26" t="s">
        <v>357</v>
      </c>
      <c r="F151" s="20">
        <v>36025</v>
      </c>
      <c r="G151" s="20">
        <v>43929</v>
      </c>
      <c r="H151" s="12" t="s">
        <v>80</v>
      </c>
      <c r="I151" s="21" t="str">
        <f>IF(Tabela1[[#This Row],[Data de Saída]]="","",PROPER(TEXT(Tabela1[[#This Row],[Data de Saída]],"mmm")))</f>
        <v>Mai</v>
      </c>
      <c r="J151" s="21" t="str">
        <f>IF(Tabela1[[#This Row],[Data de Saída]]="","",PROPER(TEXT(Tabela1[[#This Row],[Data de Saída]],"aaaa")))</f>
        <v>2020</v>
      </c>
      <c r="K151" s="27" t="str">
        <f>IF(Tabela1[[#This Row],[Data Admissão]]="","",PROPER(TEXT(Tabela1[[#This Row],[Data Admissão]],"mmm")))</f>
        <v>Abr</v>
      </c>
      <c r="L151" s="21" t="str">
        <f>IF(Tabela1[[#This Row],[Data Admissão]]="","",PROPER(TEXT(Tabela1[[#This Row],[Data Admissão]],"aaaa")))</f>
        <v>2020</v>
      </c>
      <c r="M151" s="12" t="s">
        <v>596</v>
      </c>
      <c r="N151" s="22" t="str">
        <f>IFERROR(IF(Tabela1[[#This Row],[Data de Saída]]="","ATIVO","-"),"-")</f>
        <v>-</v>
      </c>
    </row>
    <row r="152" spans="5:14" ht="24.95" customHeight="1" x14ac:dyDescent="0.2">
      <c r="E152" s="26" t="s">
        <v>358</v>
      </c>
      <c r="F152" s="20">
        <v>35565</v>
      </c>
      <c r="G152" s="20">
        <v>43929</v>
      </c>
      <c r="H152" s="12" t="s">
        <v>80</v>
      </c>
      <c r="I152" s="21" t="str">
        <f>IF(Tabela1[[#This Row],[Data de Saída]]="","",PROPER(TEXT(Tabela1[[#This Row],[Data de Saída]],"mmm")))</f>
        <v>Mai</v>
      </c>
      <c r="J152" s="21" t="str">
        <f>IF(Tabela1[[#This Row],[Data de Saída]]="","",PROPER(TEXT(Tabela1[[#This Row],[Data de Saída]],"aaaa")))</f>
        <v>2020</v>
      </c>
      <c r="K152" s="27" t="str">
        <f>IF(Tabela1[[#This Row],[Data Admissão]]="","",PROPER(TEXT(Tabela1[[#This Row],[Data Admissão]],"mmm")))</f>
        <v>Abr</v>
      </c>
      <c r="L152" s="21" t="str">
        <f>IF(Tabela1[[#This Row],[Data Admissão]]="","",PROPER(TEXT(Tabela1[[#This Row],[Data Admissão]],"aaaa")))</f>
        <v>2020</v>
      </c>
      <c r="M152" s="12" t="s">
        <v>597</v>
      </c>
      <c r="N152" s="22" t="str">
        <f>IFERROR(IF(Tabela1[[#This Row],[Data de Saída]]="","ATIVO","-"),"-")</f>
        <v>-</v>
      </c>
    </row>
    <row r="153" spans="5:14" ht="24.95" customHeight="1" x14ac:dyDescent="0.2">
      <c r="E153" s="26" t="s">
        <v>359</v>
      </c>
      <c r="F153" s="20">
        <v>37232</v>
      </c>
      <c r="G153" s="20">
        <v>43929</v>
      </c>
      <c r="H153" s="12" t="s">
        <v>15</v>
      </c>
      <c r="I153" s="21" t="str">
        <f>IF(Tabela1[[#This Row],[Data de Saída]]="","",PROPER(TEXT(Tabela1[[#This Row],[Data de Saída]],"mmm")))</f>
        <v>Jul</v>
      </c>
      <c r="J153" s="21" t="str">
        <f>IF(Tabela1[[#This Row],[Data de Saída]]="","",PROPER(TEXT(Tabela1[[#This Row],[Data de Saída]],"aaaa")))</f>
        <v>2020</v>
      </c>
      <c r="K153" s="27" t="str">
        <f>IF(Tabela1[[#This Row],[Data Admissão]]="","",PROPER(TEXT(Tabela1[[#This Row],[Data Admissão]],"mmm")))</f>
        <v>Abr</v>
      </c>
      <c r="L153" s="21" t="str">
        <f>IF(Tabela1[[#This Row],[Data Admissão]]="","",PROPER(TEXT(Tabela1[[#This Row],[Data Admissão]],"aaaa")))</f>
        <v>2020</v>
      </c>
      <c r="M153" s="12" t="s">
        <v>598</v>
      </c>
      <c r="N153" s="22" t="str">
        <f>IFERROR(IF(Tabela1[[#This Row],[Data de Saída]]="","ATIVO","-"),"-")</f>
        <v>-</v>
      </c>
    </row>
    <row r="154" spans="5:14" ht="24.95" customHeight="1" x14ac:dyDescent="0.2">
      <c r="E154" s="26" t="s">
        <v>360</v>
      </c>
      <c r="F154" s="20">
        <v>31914</v>
      </c>
      <c r="G154" s="20">
        <v>43929</v>
      </c>
      <c r="H154" s="12" t="s">
        <v>80</v>
      </c>
      <c r="I154" s="21" t="str">
        <f>IF(Tabela1[[#This Row],[Data de Saída]]="","",PROPER(TEXT(Tabela1[[#This Row],[Data de Saída]],"mmm")))</f>
        <v>Mai</v>
      </c>
      <c r="J154" s="21" t="str">
        <f>IF(Tabela1[[#This Row],[Data de Saída]]="","",PROPER(TEXT(Tabela1[[#This Row],[Data de Saída]],"aaaa")))</f>
        <v>2020</v>
      </c>
      <c r="K154" s="27" t="str">
        <f>IF(Tabela1[[#This Row],[Data Admissão]]="","",PROPER(TEXT(Tabela1[[#This Row],[Data Admissão]],"mmm")))</f>
        <v>Abr</v>
      </c>
      <c r="L154" s="21" t="str">
        <f>IF(Tabela1[[#This Row],[Data Admissão]]="","",PROPER(TEXT(Tabela1[[#This Row],[Data Admissão]],"aaaa")))</f>
        <v>2020</v>
      </c>
      <c r="M154" s="12" t="s">
        <v>599</v>
      </c>
      <c r="N154" s="22" t="str">
        <f>IFERROR(IF(Tabela1[[#This Row],[Data de Saída]]="","ATIVO","-"),"-")</f>
        <v>-</v>
      </c>
    </row>
    <row r="155" spans="5:14" ht="24.95" customHeight="1" x14ac:dyDescent="0.2">
      <c r="E155" s="26" t="s">
        <v>361</v>
      </c>
      <c r="F155" s="20">
        <v>30165</v>
      </c>
      <c r="G155" s="20">
        <v>43929</v>
      </c>
      <c r="H155" s="12" t="s">
        <v>124</v>
      </c>
      <c r="I155" s="21" t="str">
        <f>IF(Tabela1[[#This Row],[Data de Saída]]="","",PROPER(TEXT(Tabela1[[#This Row],[Data de Saída]],"mmm")))</f>
        <v>Mai</v>
      </c>
      <c r="J155" s="21" t="str">
        <f>IF(Tabela1[[#This Row],[Data de Saída]]="","",PROPER(TEXT(Tabela1[[#This Row],[Data de Saída]],"aaaa")))</f>
        <v>2020</v>
      </c>
      <c r="K155" s="27" t="str">
        <f>IF(Tabela1[[#This Row],[Data Admissão]]="","",PROPER(TEXT(Tabela1[[#This Row],[Data Admissão]],"mmm")))</f>
        <v>Abr</v>
      </c>
      <c r="L155" s="21" t="str">
        <f>IF(Tabela1[[#This Row],[Data Admissão]]="","",PROPER(TEXT(Tabela1[[#This Row],[Data Admissão]],"aaaa")))</f>
        <v>2020</v>
      </c>
      <c r="M155" s="12" t="s">
        <v>599</v>
      </c>
      <c r="N155" s="22" t="str">
        <f>IFERROR(IF(Tabela1[[#This Row],[Data de Saída]]="","ATIVO","-"),"-")</f>
        <v>-</v>
      </c>
    </row>
    <row r="156" spans="5:14" ht="24.95" customHeight="1" x14ac:dyDescent="0.2">
      <c r="E156" s="26" t="s">
        <v>362</v>
      </c>
      <c r="F156" s="20">
        <v>32762</v>
      </c>
      <c r="G156" s="20">
        <v>43990</v>
      </c>
      <c r="H156" s="12" t="s">
        <v>90</v>
      </c>
      <c r="I156" s="21" t="str">
        <f>IF(Tabela1[[#This Row],[Data de Saída]]="","",PROPER(TEXT(Tabela1[[#This Row],[Data de Saída]],"mmm")))</f>
        <v>Nov</v>
      </c>
      <c r="J156" s="21" t="str">
        <f>IF(Tabela1[[#This Row],[Data de Saída]]="","",PROPER(TEXT(Tabela1[[#This Row],[Data de Saída]],"aaaa")))</f>
        <v>2020</v>
      </c>
      <c r="K156" s="27" t="str">
        <f>IF(Tabela1[[#This Row],[Data Admissão]]="","",PROPER(TEXT(Tabela1[[#This Row],[Data Admissão]],"mmm")))</f>
        <v>Jun</v>
      </c>
      <c r="L156" s="21" t="str">
        <f>IF(Tabela1[[#This Row],[Data Admissão]]="","",PROPER(TEXT(Tabela1[[#This Row],[Data Admissão]],"aaaa")))</f>
        <v>2020</v>
      </c>
      <c r="M156" s="12" t="s">
        <v>599</v>
      </c>
      <c r="N156" s="22" t="str">
        <f>IFERROR(IF(Tabela1[[#This Row],[Data de Saída]]="","ATIVO","-"),"-")</f>
        <v>-</v>
      </c>
    </row>
    <row r="157" spans="5:14" ht="24.95" customHeight="1" x14ac:dyDescent="0.2">
      <c r="E157" s="26" t="s">
        <v>363</v>
      </c>
      <c r="F157" s="20">
        <v>35296</v>
      </c>
      <c r="G157" s="20">
        <v>43990</v>
      </c>
      <c r="H157" s="12" t="s">
        <v>156</v>
      </c>
      <c r="I157" s="21" t="str">
        <f>IF(Tabela1[[#This Row],[Data de Saída]]="","",PROPER(TEXT(Tabela1[[#This Row],[Data de Saída]],"mmm")))</f>
        <v>Set</v>
      </c>
      <c r="J157" s="21" t="str">
        <f>IF(Tabela1[[#This Row],[Data de Saída]]="","",PROPER(TEXT(Tabela1[[#This Row],[Data de Saída]],"aaaa")))</f>
        <v>2021</v>
      </c>
      <c r="K157" s="27" t="str">
        <f>IF(Tabela1[[#This Row],[Data Admissão]]="","",PROPER(TEXT(Tabela1[[#This Row],[Data Admissão]],"mmm")))</f>
        <v>Jun</v>
      </c>
      <c r="L157" s="21" t="str">
        <f>IF(Tabela1[[#This Row],[Data Admissão]]="","",PROPER(TEXT(Tabela1[[#This Row],[Data Admissão]],"aaaa")))</f>
        <v>2020</v>
      </c>
      <c r="M157" s="12" t="s">
        <v>599</v>
      </c>
      <c r="N157" s="22" t="str">
        <f>IFERROR(IF(Tabela1[[#This Row],[Data de Saída]]="","ATIVO","-"),"-")</f>
        <v>-</v>
      </c>
    </row>
    <row r="158" spans="5:14" ht="24.95" customHeight="1" x14ac:dyDescent="0.2">
      <c r="E158" s="26" t="s">
        <v>364</v>
      </c>
      <c r="F158" s="20">
        <v>28614</v>
      </c>
      <c r="G158" s="20">
        <v>43992</v>
      </c>
      <c r="H158" s="12" t="s">
        <v>7</v>
      </c>
      <c r="I158" s="21" t="str">
        <f>IF(Tabela1[[#This Row],[Data de Saída]]="","",PROPER(TEXT(Tabela1[[#This Row],[Data de Saída]],"mmm")))</f>
        <v>Jan</v>
      </c>
      <c r="J158" s="21" t="str">
        <f>IF(Tabela1[[#This Row],[Data de Saída]]="","",PROPER(TEXT(Tabela1[[#This Row],[Data de Saída]],"aaaa")))</f>
        <v>2021</v>
      </c>
      <c r="K158" s="27" t="str">
        <f>IF(Tabela1[[#This Row],[Data Admissão]]="","",PROPER(TEXT(Tabela1[[#This Row],[Data Admissão]],"mmm")))</f>
        <v>Jun</v>
      </c>
      <c r="L158" s="21" t="str">
        <f>IF(Tabela1[[#This Row],[Data Admissão]]="","",PROPER(TEXT(Tabela1[[#This Row],[Data Admissão]],"aaaa")))</f>
        <v>2020</v>
      </c>
      <c r="M158" s="12" t="s">
        <v>600</v>
      </c>
      <c r="N158" s="22" t="str">
        <f>IFERROR(IF(Tabela1[[#This Row],[Data de Saída]]="","ATIVO","-"),"-")</f>
        <v>-</v>
      </c>
    </row>
    <row r="159" spans="5:14" ht="24.95" customHeight="1" x14ac:dyDescent="0.2">
      <c r="E159" s="26" t="s">
        <v>365</v>
      </c>
      <c r="F159" s="20">
        <v>35256</v>
      </c>
      <c r="G159" s="20">
        <v>43992</v>
      </c>
      <c r="H159" s="12" t="s">
        <v>111</v>
      </c>
      <c r="I159" s="21" t="str">
        <f>IF(Tabela1[[#This Row],[Data de Saída]]="","",PROPER(TEXT(Tabela1[[#This Row],[Data de Saída]],"mmm")))</f>
        <v>Ago</v>
      </c>
      <c r="J159" s="21" t="str">
        <f>IF(Tabela1[[#This Row],[Data de Saída]]="","",PROPER(TEXT(Tabela1[[#This Row],[Data de Saída]],"aaaa")))</f>
        <v>2020</v>
      </c>
      <c r="K159" s="27" t="str">
        <f>IF(Tabela1[[#This Row],[Data Admissão]]="","",PROPER(TEXT(Tabela1[[#This Row],[Data Admissão]],"mmm")))</f>
        <v>Jun</v>
      </c>
      <c r="L159" s="21" t="str">
        <f>IF(Tabela1[[#This Row],[Data Admissão]]="","",PROPER(TEXT(Tabela1[[#This Row],[Data Admissão]],"aaaa")))</f>
        <v>2020</v>
      </c>
      <c r="M159" s="12" t="s">
        <v>601</v>
      </c>
      <c r="N159" s="22" t="str">
        <f>IFERROR(IF(Tabela1[[#This Row],[Data de Saída]]="","ATIVO","-"),"-")</f>
        <v>-</v>
      </c>
    </row>
    <row r="160" spans="5:14" ht="24.95" customHeight="1" x14ac:dyDescent="0.2">
      <c r="E160" s="26" t="s">
        <v>366</v>
      </c>
      <c r="F160" s="20">
        <v>34373</v>
      </c>
      <c r="G160" s="20">
        <v>43994</v>
      </c>
      <c r="H160" s="12" t="s">
        <v>34</v>
      </c>
      <c r="I160" s="21" t="str">
        <f>IF(Tabela1[[#This Row],[Data de Saída]]="","",PROPER(TEXT(Tabela1[[#This Row],[Data de Saída]],"mmm")))</f>
        <v>Jul</v>
      </c>
      <c r="J160" s="21" t="str">
        <f>IF(Tabela1[[#This Row],[Data de Saída]]="","",PROPER(TEXT(Tabela1[[#This Row],[Data de Saída]],"aaaa")))</f>
        <v>2020</v>
      </c>
      <c r="K160" s="27" t="str">
        <f>IF(Tabela1[[#This Row],[Data Admissão]]="","",PROPER(TEXT(Tabela1[[#This Row],[Data Admissão]],"mmm")))</f>
        <v>Jun</v>
      </c>
      <c r="L160" s="21" t="str">
        <f>IF(Tabela1[[#This Row],[Data Admissão]]="","",PROPER(TEXT(Tabela1[[#This Row],[Data Admissão]],"aaaa")))</f>
        <v>2020</v>
      </c>
      <c r="M160" s="12" t="s">
        <v>602</v>
      </c>
      <c r="N160" s="22" t="str">
        <f>IFERROR(IF(Tabela1[[#This Row],[Data de Saída]]="","ATIVO","-"),"-")</f>
        <v>-</v>
      </c>
    </row>
    <row r="161" spans="5:14" ht="24.95" customHeight="1" x14ac:dyDescent="0.2">
      <c r="E161" s="26" t="s">
        <v>367</v>
      </c>
      <c r="F161" s="20">
        <v>30117</v>
      </c>
      <c r="G161" s="20">
        <v>43994</v>
      </c>
      <c r="H161" s="12" t="s">
        <v>5</v>
      </c>
      <c r="I161" s="21" t="str">
        <f>IF(Tabela1[[#This Row],[Data de Saída]]="","",PROPER(TEXT(Tabela1[[#This Row],[Data de Saída]],"mmm")))</f>
        <v>Mar</v>
      </c>
      <c r="J161" s="21" t="str">
        <f>IF(Tabela1[[#This Row],[Data de Saída]]="","",PROPER(TEXT(Tabela1[[#This Row],[Data de Saída]],"aaaa")))</f>
        <v>2021</v>
      </c>
      <c r="K161" s="27" t="str">
        <f>IF(Tabela1[[#This Row],[Data Admissão]]="","",PROPER(TEXT(Tabela1[[#This Row],[Data Admissão]],"mmm")))</f>
        <v>Jun</v>
      </c>
      <c r="L161" s="21" t="str">
        <f>IF(Tabela1[[#This Row],[Data Admissão]]="","",PROPER(TEXT(Tabela1[[#This Row],[Data Admissão]],"aaaa")))</f>
        <v>2020</v>
      </c>
      <c r="M161" s="12" t="s">
        <v>594</v>
      </c>
      <c r="N161" s="22" t="str">
        <f>IFERROR(IF(Tabela1[[#This Row],[Data de Saída]]="","ATIVO","-"),"-")</f>
        <v>-</v>
      </c>
    </row>
    <row r="162" spans="5:14" ht="24.95" customHeight="1" x14ac:dyDescent="0.2">
      <c r="E162" s="26" t="s">
        <v>368</v>
      </c>
      <c r="F162" s="20">
        <v>31810</v>
      </c>
      <c r="G162" s="20">
        <v>43994</v>
      </c>
      <c r="H162" s="12" t="s">
        <v>62</v>
      </c>
      <c r="I162" s="21" t="str">
        <f>IF(Tabela1[[#This Row],[Data de Saída]]="","",PROPER(TEXT(Tabela1[[#This Row],[Data de Saída]],"mmm")))</f>
        <v>Ago</v>
      </c>
      <c r="J162" s="21" t="str">
        <f>IF(Tabela1[[#This Row],[Data de Saída]]="","",PROPER(TEXT(Tabela1[[#This Row],[Data de Saída]],"aaaa")))</f>
        <v>2020</v>
      </c>
      <c r="K162" s="27" t="str">
        <f>IF(Tabela1[[#This Row],[Data Admissão]]="","",PROPER(TEXT(Tabela1[[#This Row],[Data Admissão]],"mmm")))</f>
        <v>Jun</v>
      </c>
      <c r="L162" s="21" t="str">
        <f>IF(Tabela1[[#This Row],[Data Admissão]]="","",PROPER(TEXT(Tabela1[[#This Row],[Data Admissão]],"aaaa")))</f>
        <v>2020</v>
      </c>
      <c r="M162" s="12" t="s">
        <v>594</v>
      </c>
      <c r="N162" s="22" t="str">
        <f>IFERROR(IF(Tabela1[[#This Row],[Data de Saída]]="","ATIVO","-"),"-")</f>
        <v>-</v>
      </c>
    </row>
    <row r="163" spans="5:14" ht="24.95" customHeight="1" x14ac:dyDescent="0.2">
      <c r="E163" s="26" t="s">
        <v>369</v>
      </c>
      <c r="F163" s="20">
        <v>32713</v>
      </c>
      <c r="G163" s="20">
        <v>43994</v>
      </c>
      <c r="H163" s="12" t="s">
        <v>34</v>
      </c>
      <c r="I163" s="21" t="str">
        <f>IF(Tabela1[[#This Row],[Data de Saída]]="","",PROPER(TEXT(Tabela1[[#This Row],[Data de Saída]],"mmm")))</f>
        <v>Jul</v>
      </c>
      <c r="J163" s="21" t="str">
        <f>IF(Tabela1[[#This Row],[Data de Saída]]="","",PROPER(TEXT(Tabela1[[#This Row],[Data de Saída]],"aaaa")))</f>
        <v>2020</v>
      </c>
      <c r="K163" s="27" t="str">
        <f>IF(Tabela1[[#This Row],[Data Admissão]]="","",PROPER(TEXT(Tabela1[[#This Row],[Data Admissão]],"mmm")))</f>
        <v>Jun</v>
      </c>
      <c r="L163" s="21" t="str">
        <f>IF(Tabela1[[#This Row],[Data Admissão]]="","",PROPER(TEXT(Tabela1[[#This Row],[Data Admissão]],"aaaa")))</f>
        <v>2020</v>
      </c>
      <c r="M163" s="12" t="s">
        <v>595</v>
      </c>
      <c r="N163" s="22" t="str">
        <f>IFERROR(IF(Tabela1[[#This Row],[Data de Saída]]="","ATIVO","-"),"-")</f>
        <v>-</v>
      </c>
    </row>
    <row r="164" spans="5:14" ht="24.95" customHeight="1" x14ac:dyDescent="0.2">
      <c r="E164" s="26" t="s">
        <v>370</v>
      </c>
      <c r="F164" s="20">
        <v>33385</v>
      </c>
      <c r="G164" s="20">
        <v>44046</v>
      </c>
      <c r="H164" s="12" t="s">
        <v>25</v>
      </c>
      <c r="I164" s="21" t="str">
        <f>IF(Tabela1[[#This Row],[Data de Saída]]="","",PROPER(TEXT(Tabela1[[#This Row],[Data de Saída]],"mmm")))</f>
        <v>Abr</v>
      </c>
      <c r="J164" s="21" t="str">
        <f>IF(Tabela1[[#This Row],[Data de Saída]]="","",PROPER(TEXT(Tabela1[[#This Row],[Data de Saída]],"aaaa")))</f>
        <v>2022</v>
      </c>
      <c r="K164" s="27" t="str">
        <f>IF(Tabela1[[#This Row],[Data Admissão]]="","",PROPER(TEXT(Tabela1[[#This Row],[Data Admissão]],"mmm")))</f>
        <v>Ago</v>
      </c>
      <c r="L164" s="21" t="str">
        <f>IF(Tabela1[[#This Row],[Data Admissão]]="","",PROPER(TEXT(Tabela1[[#This Row],[Data Admissão]],"aaaa")))</f>
        <v>2020</v>
      </c>
      <c r="M164" s="12" t="s">
        <v>596</v>
      </c>
      <c r="N164" s="22" t="str">
        <f>IFERROR(IF(Tabela1[[#This Row],[Data de Saída]]="","ATIVO","-"),"-")</f>
        <v>-</v>
      </c>
    </row>
    <row r="165" spans="5:14" ht="24.95" customHeight="1" x14ac:dyDescent="0.2">
      <c r="E165" s="26" t="s">
        <v>371</v>
      </c>
      <c r="F165" s="20">
        <v>35289</v>
      </c>
      <c r="G165" s="20">
        <v>44055</v>
      </c>
      <c r="H165" s="12" t="s">
        <v>20</v>
      </c>
      <c r="I165" s="21" t="str">
        <f>IF(Tabela1[[#This Row],[Data de Saída]]="","",PROPER(TEXT(Tabela1[[#This Row],[Data de Saída]],"mmm")))</f>
        <v>Fev</v>
      </c>
      <c r="J165" s="21" t="str">
        <f>IF(Tabela1[[#This Row],[Data de Saída]]="","",PROPER(TEXT(Tabela1[[#This Row],[Data de Saída]],"aaaa")))</f>
        <v>2021</v>
      </c>
      <c r="K165" s="27" t="str">
        <f>IF(Tabela1[[#This Row],[Data Admissão]]="","",PROPER(TEXT(Tabela1[[#This Row],[Data Admissão]],"mmm")))</f>
        <v>Ago</v>
      </c>
      <c r="L165" s="21" t="str">
        <f>IF(Tabela1[[#This Row],[Data Admissão]]="","",PROPER(TEXT(Tabela1[[#This Row],[Data Admissão]],"aaaa")))</f>
        <v>2020</v>
      </c>
      <c r="M165" s="12" t="s">
        <v>597</v>
      </c>
      <c r="N165" s="22" t="str">
        <f>IFERROR(IF(Tabela1[[#This Row],[Data de Saída]]="","ATIVO","-"),"-")</f>
        <v>-</v>
      </c>
    </row>
    <row r="166" spans="5:14" ht="24.95" customHeight="1" x14ac:dyDescent="0.2">
      <c r="E166" s="26" t="s">
        <v>372</v>
      </c>
      <c r="F166" s="20">
        <v>31554</v>
      </c>
      <c r="G166" s="20">
        <v>44055</v>
      </c>
      <c r="H166" s="12" t="s">
        <v>5</v>
      </c>
      <c r="I166" s="21" t="str">
        <f>IF(Tabela1[[#This Row],[Data de Saída]]="","",PROPER(TEXT(Tabela1[[#This Row],[Data de Saída]],"mmm")))</f>
        <v>Mar</v>
      </c>
      <c r="J166" s="21" t="str">
        <f>IF(Tabela1[[#This Row],[Data de Saída]]="","",PROPER(TEXT(Tabela1[[#This Row],[Data de Saída]],"aaaa")))</f>
        <v>2021</v>
      </c>
      <c r="K166" s="27" t="str">
        <f>IF(Tabela1[[#This Row],[Data Admissão]]="","",PROPER(TEXT(Tabela1[[#This Row],[Data Admissão]],"mmm")))</f>
        <v>Ago</v>
      </c>
      <c r="L166" s="21" t="str">
        <f>IF(Tabela1[[#This Row],[Data Admissão]]="","",PROPER(TEXT(Tabela1[[#This Row],[Data Admissão]],"aaaa")))</f>
        <v>2020</v>
      </c>
      <c r="M166" s="12" t="s">
        <v>598</v>
      </c>
      <c r="N166" s="22" t="str">
        <f>IFERROR(IF(Tabela1[[#This Row],[Data de Saída]]="","ATIVO","-"),"-")</f>
        <v>-</v>
      </c>
    </row>
    <row r="167" spans="5:14" ht="24.95" customHeight="1" x14ac:dyDescent="0.2">
      <c r="E167" s="26" t="s">
        <v>373</v>
      </c>
      <c r="F167" s="20">
        <v>33853</v>
      </c>
      <c r="G167" s="20">
        <v>44055</v>
      </c>
      <c r="H167" s="12" t="s">
        <v>7</v>
      </c>
      <c r="I167" s="21" t="str">
        <f>IF(Tabela1[[#This Row],[Data de Saída]]="","",PROPER(TEXT(Tabela1[[#This Row],[Data de Saída]],"mmm")))</f>
        <v>Jan</v>
      </c>
      <c r="J167" s="21" t="str">
        <f>IF(Tabela1[[#This Row],[Data de Saída]]="","",PROPER(TEXT(Tabela1[[#This Row],[Data de Saída]],"aaaa")))</f>
        <v>2021</v>
      </c>
      <c r="K167" s="27" t="str">
        <f>IF(Tabela1[[#This Row],[Data Admissão]]="","",PROPER(TEXT(Tabela1[[#This Row],[Data Admissão]],"mmm")))</f>
        <v>Ago</v>
      </c>
      <c r="L167" s="21" t="str">
        <f>IF(Tabela1[[#This Row],[Data Admissão]]="","",PROPER(TEXT(Tabela1[[#This Row],[Data Admissão]],"aaaa")))</f>
        <v>2020</v>
      </c>
      <c r="M167" s="12" t="s">
        <v>599</v>
      </c>
      <c r="N167" s="22" t="str">
        <f>IFERROR(IF(Tabela1[[#This Row],[Data de Saída]]="","ATIVO","-"),"-")</f>
        <v>-</v>
      </c>
    </row>
    <row r="168" spans="5:14" ht="24.95" customHeight="1" x14ac:dyDescent="0.2">
      <c r="E168" s="26" t="s">
        <v>374</v>
      </c>
      <c r="F168" s="20">
        <v>34627</v>
      </c>
      <c r="G168" s="20">
        <v>44055</v>
      </c>
      <c r="H168" s="12" t="s">
        <v>5</v>
      </c>
      <c r="I168" s="21" t="str">
        <f>IF(Tabela1[[#This Row],[Data de Saída]]="","",PROPER(TEXT(Tabela1[[#This Row],[Data de Saída]],"mmm")))</f>
        <v>Mar</v>
      </c>
      <c r="J168" s="21" t="str">
        <f>IF(Tabela1[[#This Row],[Data de Saída]]="","",PROPER(TEXT(Tabela1[[#This Row],[Data de Saída]],"aaaa")))</f>
        <v>2021</v>
      </c>
      <c r="K168" s="27" t="str">
        <f>IF(Tabela1[[#This Row],[Data Admissão]]="","",PROPER(TEXT(Tabela1[[#This Row],[Data Admissão]],"mmm")))</f>
        <v>Ago</v>
      </c>
      <c r="L168" s="21" t="str">
        <f>IF(Tabela1[[#This Row],[Data Admissão]]="","",PROPER(TEXT(Tabela1[[#This Row],[Data Admissão]],"aaaa")))</f>
        <v>2020</v>
      </c>
      <c r="M168" s="12" t="s">
        <v>599</v>
      </c>
      <c r="N168" s="22" t="str">
        <f>IFERROR(IF(Tabela1[[#This Row],[Data de Saída]]="","ATIVO","-"),"-")</f>
        <v>-</v>
      </c>
    </row>
    <row r="169" spans="5:14" ht="24.95" customHeight="1" x14ac:dyDescent="0.2">
      <c r="E169" s="26" t="s">
        <v>375</v>
      </c>
      <c r="F169" s="20">
        <v>30385</v>
      </c>
      <c r="G169" s="20">
        <v>44055</v>
      </c>
      <c r="H169" s="12" t="s">
        <v>118</v>
      </c>
      <c r="I169" s="21" t="str">
        <f>IF(Tabela1[[#This Row],[Data de Saída]]="","",PROPER(TEXT(Tabela1[[#This Row],[Data de Saída]],"mmm")))</f>
        <v>Abr</v>
      </c>
      <c r="J169" s="21" t="str">
        <f>IF(Tabela1[[#This Row],[Data de Saída]]="","",PROPER(TEXT(Tabela1[[#This Row],[Data de Saída]],"aaaa")))</f>
        <v>2023</v>
      </c>
      <c r="K169" s="27" t="str">
        <f>IF(Tabela1[[#This Row],[Data Admissão]]="","",PROPER(TEXT(Tabela1[[#This Row],[Data Admissão]],"mmm")))</f>
        <v>Ago</v>
      </c>
      <c r="L169" s="21" t="str">
        <f>IF(Tabela1[[#This Row],[Data Admissão]]="","",PROPER(TEXT(Tabela1[[#This Row],[Data Admissão]],"aaaa")))</f>
        <v>2020</v>
      </c>
      <c r="M169" s="12" t="s">
        <v>599</v>
      </c>
      <c r="N169" s="22" t="str">
        <f>IFERROR(IF(Tabela1[[#This Row],[Data de Saída]]="","ATIVO","-"),"-")</f>
        <v>-</v>
      </c>
    </row>
    <row r="170" spans="5:14" ht="24.95" customHeight="1" x14ac:dyDescent="0.2">
      <c r="E170" s="26" t="s">
        <v>376</v>
      </c>
      <c r="F170" s="20">
        <v>35908</v>
      </c>
      <c r="G170" s="20">
        <v>44055</v>
      </c>
      <c r="H170" s="12" t="s">
        <v>137</v>
      </c>
      <c r="I170" s="21" t="str">
        <f>IF(Tabela1[[#This Row],[Data de Saída]]="","",PROPER(TEXT(Tabela1[[#This Row],[Data de Saída]],"mmm")))</f>
        <v>Fev</v>
      </c>
      <c r="J170" s="21" t="str">
        <f>IF(Tabela1[[#This Row],[Data de Saída]]="","",PROPER(TEXT(Tabela1[[#This Row],[Data de Saída]],"aaaa")))</f>
        <v>2021</v>
      </c>
      <c r="K170" s="27" t="str">
        <f>IF(Tabela1[[#This Row],[Data Admissão]]="","",PROPER(TEXT(Tabela1[[#This Row],[Data Admissão]],"mmm")))</f>
        <v>Ago</v>
      </c>
      <c r="L170" s="21" t="str">
        <f>IF(Tabela1[[#This Row],[Data Admissão]]="","",PROPER(TEXT(Tabela1[[#This Row],[Data Admissão]],"aaaa")))</f>
        <v>2020</v>
      </c>
      <c r="M170" s="12" t="s">
        <v>599</v>
      </c>
      <c r="N170" s="22" t="str">
        <f>IFERROR(IF(Tabela1[[#This Row],[Data de Saída]]="","ATIVO","-"),"-")</f>
        <v>-</v>
      </c>
    </row>
    <row r="171" spans="5:14" ht="24.95" customHeight="1" x14ac:dyDescent="0.2">
      <c r="E171" s="26" t="s">
        <v>377</v>
      </c>
      <c r="F171" s="20">
        <v>34801</v>
      </c>
      <c r="G171" s="20">
        <v>44055</v>
      </c>
      <c r="H171" s="12" t="s">
        <v>7</v>
      </c>
      <c r="I171" s="21" t="str">
        <f>IF(Tabela1[[#This Row],[Data de Saída]]="","",PROPER(TEXT(Tabela1[[#This Row],[Data de Saída]],"mmm")))</f>
        <v>Jan</v>
      </c>
      <c r="J171" s="21" t="str">
        <f>IF(Tabela1[[#This Row],[Data de Saída]]="","",PROPER(TEXT(Tabela1[[#This Row],[Data de Saída]],"aaaa")))</f>
        <v>2021</v>
      </c>
      <c r="K171" s="27" t="str">
        <f>IF(Tabela1[[#This Row],[Data Admissão]]="","",PROPER(TEXT(Tabela1[[#This Row],[Data Admissão]],"mmm")))</f>
        <v>Ago</v>
      </c>
      <c r="L171" s="21" t="str">
        <f>IF(Tabela1[[#This Row],[Data Admissão]]="","",PROPER(TEXT(Tabela1[[#This Row],[Data Admissão]],"aaaa")))</f>
        <v>2020</v>
      </c>
      <c r="M171" s="12" t="s">
        <v>600</v>
      </c>
      <c r="N171" s="22" t="str">
        <f>IFERROR(IF(Tabela1[[#This Row],[Data de Saída]]="","ATIVO","-"),"-")</f>
        <v>-</v>
      </c>
    </row>
    <row r="172" spans="5:14" ht="24.95" customHeight="1" x14ac:dyDescent="0.2">
      <c r="E172" s="26" t="s">
        <v>378</v>
      </c>
      <c r="F172" s="20">
        <v>36756</v>
      </c>
      <c r="G172" s="20">
        <v>44055</v>
      </c>
      <c r="H172" s="12" t="s">
        <v>60</v>
      </c>
      <c r="I172" s="21" t="str">
        <f>IF(Tabela1[[#This Row],[Data de Saída]]="","",PROPER(TEXT(Tabela1[[#This Row],[Data de Saída]],"mmm")))</f>
        <v>Mai</v>
      </c>
      <c r="J172" s="21" t="str">
        <f>IF(Tabela1[[#This Row],[Data de Saída]]="","",PROPER(TEXT(Tabela1[[#This Row],[Data de Saída]],"aaaa")))</f>
        <v>2022</v>
      </c>
      <c r="K172" s="27" t="str">
        <f>IF(Tabela1[[#This Row],[Data Admissão]]="","",PROPER(TEXT(Tabela1[[#This Row],[Data Admissão]],"mmm")))</f>
        <v>Ago</v>
      </c>
      <c r="L172" s="21" t="str">
        <f>IF(Tabela1[[#This Row],[Data Admissão]]="","",PROPER(TEXT(Tabela1[[#This Row],[Data Admissão]],"aaaa")))</f>
        <v>2020</v>
      </c>
      <c r="M172" s="12" t="s">
        <v>601</v>
      </c>
      <c r="N172" s="22" t="str">
        <f>IFERROR(IF(Tabela1[[#This Row],[Data de Saída]]="","ATIVO","-"),"-")</f>
        <v>-</v>
      </c>
    </row>
    <row r="173" spans="5:14" ht="24.95" customHeight="1" x14ac:dyDescent="0.2">
      <c r="E173" s="26" t="s">
        <v>379</v>
      </c>
      <c r="F173" s="20">
        <v>32359</v>
      </c>
      <c r="G173" s="20">
        <v>44055</v>
      </c>
      <c r="H173" s="12" t="s">
        <v>12</v>
      </c>
      <c r="I173" s="21" t="str">
        <f>IF(Tabela1[[#This Row],[Data de Saída]]="","",PROPER(TEXT(Tabela1[[#This Row],[Data de Saída]],"mmm")))</f>
        <v>Fev</v>
      </c>
      <c r="J173" s="21" t="str">
        <f>IF(Tabela1[[#This Row],[Data de Saída]]="","",PROPER(TEXT(Tabela1[[#This Row],[Data de Saída]],"aaaa")))</f>
        <v>2021</v>
      </c>
      <c r="K173" s="27" t="str">
        <f>IF(Tabela1[[#This Row],[Data Admissão]]="","",PROPER(TEXT(Tabela1[[#This Row],[Data Admissão]],"mmm")))</f>
        <v>Ago</v>
      </c>
      <c r="L173" s="21" t="str">
        <f>IF(Tabela1[[#This Row],[Data Admissão]]="","",PROPER(TEXT(Tabela1[[#This Row],[Data Admissão]],"aaaa")))</f>
        <v>2020</v>
      </c>
      <c r="M173" s="12" t="s">
        <v>602</v>
      </c>
      <c r="N173" s="22" t="str">
        <f>IFERROR(IF(Tabela1[[#This Row],[Data de Saída]]="","ATIVO","-"),"-")</f>
        <v>-</v>
      </c>
    </row>
    <row r="174" spans="5:14" ht="24.95" customHeight="1" x14ac:dyDescent="0.2">
      <c r="E174" s="26" t="s">
        <v>380</v>
      </c>
      <c r="F174" s="20">
        <v>36069</v>
      </c>
      <c r="G174" s="20">
        <v>44055</v>
      </c>
      <c r="H174" s="12" t="s">
        <v>5</v>
      </c>
      <c r="I174" s="21" t="str">
        <f>IF(Tabela1[[#This Row],[Data de Saída]]="","",PROPER(TEXT(Tabela1[[#This Row],[Data de Saída]],"mmm")))</f>
        <v>Mar</v>
      </c>
      <c r="J174" s="21" t="str">
        <f>IF(Tabela1[[#This Row],[Data de Saída]]="","",PROPER(TEXT(Tabela1[[#This Row],[Data de Saída]],"aaaa")))</f>
        <v>2021</v>
      </c>
      <c r="K174" s="27" t="str">
        <f>IF(Tabela1[[#This Row],[Data Admissão]]="","",PROPER(TEXT(Tabela1[[#This Row],[Data Admissão]],"mmm")))</f>
        <v>Ago</v>
      </c>
      <c r="L174" s="21" t="str">
        <f>IF(Tabela1[[#This Row],[Data Admissão]]="","",PROPER(TEXT(Tabela1[[#This Row],[Data Admissão]],"aaaa")))</f>
        <v>2020</v>
      </c>
      <c r="M174" s="12" t="s">
        <v>594</v>
      </c>
      <c r="N174" s="22" t="str">
        <f>IFERROR(IF(Tabela1[[#This Row],[Data de Saída]]="","ATIVO","-"),"-")</f>
        <v>-</v>
      </c>
    </row>
    <row r="175" spans="5:14" ht="24.95" customHeight="1" x14ac:dyDescent="0.2">
      <c r="E175" s="26" t="s">
        <v>381</v>
      </c>
      <c r="F175" s="20">
        <v>31715</v>
      </c>
      <c r="G175" s="20">
        <v>44082</v>
      </c>
      <c r="H175" s="12" t="s">
        <v>84</v>
      </c>
      <c r="I175" s="21" t="str">
        <f>IF(Tabela1[[#This Row],[Data de Saída]]="","",PROPER(TEXT(Tabela1[[#This Row],[Data de Saída]],"mmm")))</f>
        <v>Nov</v>
      </c>
      <c r="J175" s="21" t="str">
        <f>IF(Tabela1[[#This Row],[Data de Saída]]="","",PROPER(TEXT(Tabela1[[#This Row],[Data de Saída]],"aaaa")))</f>
        <v>2020</v>
      </c>
      <c r="K175" s="27" t="str">
        <f>IF(Tabela1[[#This Row],[Data Admissão]]="","",PROPER(TEXT(Tabela1[[#This Row],[Data Admissão]],"mmm")))</f>
        <v>Set</v>
      </c>
      <c r="L175" s="21" t="str">
        <f>IF(Tabela1[[#This Row],[Data Admissão]]="","",PROPER(TEXT(Tabela1[[#This Row],[Data Admissão]],"aaaa")))</f>
        <v>2020</v>
      </c>
      <c r="M175" s="12" t="s">
        <v>594</v>
      </c>
      <c r="N175" s="22" t="str">
        <f>IFERROR(IF(Tabela1[[#This Row],[Data de Saída]]="","ATIVO","-"),"-")</f>
        <v>-</v>
      </c>
    </row>
    <row r="176" spans="5:14" ht="24.95" customHeight="1" x14ac:dyDescent="0.2">
      <c r="E176" s="26" t="s">
        <v>382</v>
      </c>
      <c r="F176" s="20">
        <v>34532</v>
      </c>
      <c r="G176" s="20">
        <v>44082</v>
      </c>
      <c r="H176" s="12" t="s">
        <v>5</v>
      </c>
      <c r="I176" s="21" t="str">
        <f>IF(Tabela1[[#This Row],[Data de Saída]]="","",PROPER(TEXT(Tabela1[[#This Row],[Data de Saída]],"mmm")))</f>
        <v>Mar</v>
      </c>
      <c r="J176" s="21" t="str">
        <f>IF(Tabela1[[#This Row],[Data de Saída]]="","",PROPER(TEXT(Tabela1[[#This Row],[Data de Saída]],"aaaa")))</f>
        <v>2021</v>
      </c>
      <c r="K176" s="27" t="str">
        <f>IF(Tabela1[[#This Row],[Data Admissão]]="","",PROPER(TEXT(Tabela1[[#This Row],[Data Admissão]],"mmm")))</f>
        <v>Set</v>
      </c>
      <c r="L176" s="21" t="str">
        <f>IF(Tabela1[[#This Row],[Data Admissão]]="","",PROPER(TEXT(Tabela1[[#This Row],[Data Admissão]],"aaaa")))</f>
        <v>2020</v>
      </c>
      <c r="M176" s="12" t="s">
        <v>595</v>
      </c>
      <c r="N176" s="22" t="str">
        <f>IFERROR(IF(Tabela1[[#This Row],[Data de Saída]]="","ATIVO","-"),"-")</f>
        <v>-</v>
      </c>
    </row>
    <row r="177" spans="5:14" ht="24.95" customHeight="1" x14ac:dyDescent="0.2">
      <c r="E177" s="26" t="s">
        <v>383</v>
      </c>
      <c r="F177" s="20">
        <v>36929</v>
      </c>
      <c r="G177" s="20">
        <v>44082</v>
      </c>
      <c r="H177" s="12" t="s">
        <v>88</v>
      </c>
      <c r="I177" s="21" t="str">
        <f>IF(Tabela1[[#This Row],[Data de Saída]]="","",PROPER(TEXT(Tabela1[[#This Row],[Data de Saída]],"mmm")))</f>
        <v>Out</v>
      </c>
      <c r="J177" s="21" t="str">
        <f>IF(Tabela1[[#This Row],[Data de Saída]]="","",PROPER(TEXT(Tabela1[[#This Row],[Data de Saída]],"aaaa")))</f>
        <v>2020</v>
      </c>
      <c r="K177" s="27" t="str">
        <f>IF(Tabela1[[#This Row],[Data Admissão]]="","",PROPER(TEXT(Tabela1[[#This Row],[Data Admissão]],"mmm")))</f>
        <v>Set</v>
      </c>
      <c r="L177" s="21" t="str">
        <f>IF(Tabela1[[#This Row],[Data Admissão]]="","",PROPER(TEXT(Tabela1[[#This Row],[Data Admissão]],"aaaa")))</f>
        <v>2020</v>
      </c>
      <c r="M177" s="12" t="s">
        <v>596</v>
      </c>
      <c r="N177" s="22" t="str">
        <f>IFERROR(IF(Tabela1[[#This Row],[Data de Saída]]="","ATIVO","-"),"-")</f>
        <v>-</v>
      </c>
    </row>
    <row r="178" spans="5:14" ht="24.95" customHeight="1" x14ac:dyDescent="0.2">
      <c r="E178" s="26" t="s">
        <v>384</v>
      </c>
      <c r="F178" s="20">
        <v>26436</v>
      </c>
      <c r="G178" s="20">
        <v>44085</v>
      </c>
      <c r="H178" s="12" t="s">
        <v>26</v>
      </c>
      <c r="I178" s="21" t="str">
        <f>IF(Tabela1[[#This Row],[Data de Saída]]="","",PROPER(TEXT(Tabela1[[#This Row],[Data de Saída]],"mmm")))</f>
        <v>Out</v>
      </c>
      <c r="J178" s="21" t="str">
        <f>IF(Tabela1[[#This Row],[Data de Saída]]="","",PROPER(TEXT(Tabela1[[#This Row],[Data de Saída]],"aaaa")))</f>
        <v>2020</v>
      </c>
      <c r="K178" s="27" t="str">
        <f>IF(Tabela1[[#This Row],[Data Admissão]]="","",PROPER(TEXT(Tabela1[[#This Row],[Data Admissão]],"mmm")))</f>
        <v>Set</v>
      </c>
      <c r="L178" s="21" t="str">
        <f>IF(Tabela1[[#This Row],[Data Admissão]]="","",PROPER(TEXT(Tabela1[[#This Row],[Data Admissão]],"aaaa")))</f>
        <v>2020</v>
      </c>
      <c r="M178" s="12" t="s">
        <v>597</v>
      </c>
      <c r="N178" s="22" t="str">
        <f>IFERROR(IF(Tabela1[[#This Row],[Data de Saída]]="","ATIVO","-"),"-")</f>
        <v>-</v>
      </c>
    </row>
    <row r="179" spans="5:14" ht="24.95" customHeight="1" x14ac:dyDescent="0.2">
      <c r="E179" s="26" t="s">
        <v>385</v>
      </c>
      <c r="F179" s="20">
        <v>26957</v>
      </c>
      <c r="G179" s="20">
        <v>44102</v>
      </c>
      <c r="H179" s="12"/>
      <c r="I179" s="21" t="str">
        <f>IF(Tabela1[[#This Row],[Data de Saída]]="","",PROPER(TEXT(Tabela1[[#This Row],[Data de Saída]],"mmm")))</f>
        <v/>
      </c>
      <c r="J179" s="21" t="str">
        <f>IF(Tabela1[[#This Row],[Data de Saída]]="","",PROPER(TEXT(Tabela1[[#This Row],[Data de Saída]],"aaaa")))</f>
        <v/>
      </c>
      <c r="K179" s="27" t="str">
        <f>IF(Tabela1[[#This Row],[Data Admissão]]="","",PROPER(TEXT(Tabela1[[#This Row],[Data Admissão]],"mmm")))</f>
        <v>Set</v>
      </c>
      <c r="L179" s="21" t="str">
        <f>IF(Tabela1[[#This Row],[Data Admissão]]="","",PROPER(TEXT(Tabela1[[#This Row],[Data Admissão]],"aaaa")))</f>
        <v>2020</v>
      </c>
      <c r="M179" s="12" t="s">
        <v>598</v>
      </c>
      <c r="N179" s="22" t="str">
        <f>IFERROR(IF(Tabela1[[#This Row],[Data de Saída]]="","ATIVO","-"),"-")</f>
        <v>ATIVO</v>
      </c>
    </row>
    <row r="180" spans="5:14" ht="24.95" customHeight="1" x14ac:dyDescent="0.2">
      <c r="E180" s="26" t="s">
        <v>386</v>
      </c>
      <c r="F180" s="20">
        <v>32300</v>
      </c>
      <c r="G180" s="20">
        <v>44102</v>
      </c>
      <c r="H180" s="12" t="s">
        <v>150</v>
      </c>
      <c r="I180" s="21" t="str">
        <f>IF(Tabela1[[#This Row],[Data de Saída]]="","",PROPER(TEXT(Tabela1[[#This Row],[Data de Saída]],"mmm")))</f>
        <v>Nov</v>
      </c>
      <c r="J180" s="21" t="str">
        <f>IF(Tabela1[[#This Row],[Data de Saída]]="","",PROPER(TEXT(Tabela1[[#This Row],[Data de Saída]],"aaaa")))</f>
        <v>2020</v>
      </c>
      <c r="K180" s="27" t="str">
        <f>IF(Tabela1[[#This Row],[Data Admissão]]="","",PROPER(TEXT(Tabela1[[#This Row],[Data Admissão]],"mmm")))</f>
        <v>Set</v>
      </c>
      <c r="L180" s="21" t="str">
        <f>IF(Tabela1[[#This Row],[Data Admissão]]="","",PROPER(TEXT(Tabela1[[#This Row],[Data Admissão]],"aaaa")))</f>
        <v>2020</v>
      </c>
      <c r="M180" s="12" t="s">
        <v>599</v>
      </c>
      <c r="N180" s="22" t="str">
        <f>IFERROR(IF(Tabela1[[#This Row],[Data de Saída]]="","ATIVO","-"),"-")</f>
        <v>-</v>
      </c>
    </row>
    <row r="181" spans="5:14" ht="24.95" customHeight="1" x14ac:dyDescent="0.2">
      <c r="E181" s="26" t="s">
        <v>387</v>
      </c>
      <c r="F181" s="20">
        <v>26233</v>
      </c>
      <c r="G181" s="20">
        <v>44117</v>
      </c>
      <c r="H181" s="12" t="s">
        <v>58</v>
      </c>
      <c r="I181" s="21" t="str">
        <f>IF(Tabela1[[#This Row],[Data de Saída]]="","",PROPER(TEXT(Tabela1[[#This Row],[Data de Saída]],"mmm")))</f>
        <v>Mai</v>
      </c>
      <c r="J181" s="21" t="str">
        <f>IF(Tabela1[[#This Row],[Data de Saída]]="","",PROPER(TEXT(Tabela1[[#This Row],[Data de Saída]],"aaaa")))</f>
        <v>2021</v>
      </c>
      <c r="K181" s="27" t="str">
        <f>IF(Tabela1[[#This Row],[Data Admissão]]="","",PROPER(TEXT(Tabela1[[#This Row],[Data Admissão]],"mmm")))</f>
        <v>Out</v>
      </c>
      <c r="L181" s="21" t="str">
        <f>IF(Tabela1[[#This Row],[Data Admissão]]="","",PROPER(TEXT(Tabela1[[#This Row],[Data Admissão]],"aaaa")))</f>
        <v>2020</v>
      </c>
      <c r="M181" s="12" t="s">
        <v>599</v>
      </c>
      <c r="N181" s="22" t="str">
        <f>IFERROR(IF(Tabela1[[#This Row],[Data de Saída]]="","ATIVO","-"),"-")</f>
        <v>-</v>
      </c>
    </row>
    <row r="182" spans="5:14" ht="24.95" customHeight="1" x14ac:dyDescent="0.2">
      <c r="E182" s="26" t="s">
        <v>388</v>
      </c>
      <c r="F182" s="20">
        <v>30321</v>
      </c>
      <c r="G182" s="20">
        <v>44127</v>
      </c>
      <c r="H182" s="12" t="s">
        <v>43</v>
      </c>
      <c r="I182" s="21" t="str">
        <f>IF(Tabela1[[#This Row],[Data de Saída]]="","",PROPER(TEXT(Tabela1[[#This Row],[Data de Saída]],"mmm")))</f>
        <v>Jan</v>
      </c>
      <c r="J182" s="21" t="str">
        <f>IF(Tabela1[[#This Row],[Data de Saída]]="","",PROPER(TEXT(Tabela1[[#This Row],[Data de Saída]],"aaaa")))</f>
        <v>2021</v>
      </c>
      <c r="K182" s="27" t="str">
        <f>IF(Tabela1[[#This Row],[Data Admissão]]="","",PROPER(TEXT(Tabela1[[#This Row],[Data Admissão]],"mmm")))</f>
        <v>Out</v>
      </c>
      <c r="L182" s="21" t="str">
        <f>IF(Tabela1[[#This Row],[Data Admissão]]="","",PROPER(TEXT(Tabela1[[#This Row],[Data Admissão]],"aaaa")))</f>
        <v>2020</v>
      </c>
      <c r="M182" s="12" t="s">
        <v>599</v>
      </c>
      <c r="N182" s="22" t="str">
        <f>IFERROR(IF(Tabela1[[#This Row],[Data de Saída]]="","ATIVO","-"),"-")</f>
        <v>-</v>
      </c>
    </row>
    <row r="183" spans="5:14" ht="24.95" customHeight="1" x14ac:dyDescent="0.2">
      <c r="E183" s="26" t="s">
        <v>389</v>
      </c>
      <c r="F183" s="20">
        <v>30020</v>
      </c>
      <c r="G183" s="20">
        <v>44127</v>
      </c>
      <c r="H183" s="12" t="s">
        <v>58</v>
      </c>
      <c r="I183" s="21" t="str">
        <f>IF(Tabela1[[#This Row],[Data de Saída]]="","",PROPER(TEXT(Tabela1[[#This Row],[Data de Saída]],"mmm")))</f>
        <v>Mai</v>
      </c>
      <c r="J183" s="21" t="str">
        <f>IF(Tabela1[[#This Row],[Data de Saída]]="","",PROPER(TEXT(Tabela1[[#This Row],[Data de Saída]],"aaaa")))</f>
        <v>2021</v>
      </c>
      <c r="K183" s="27" t="str">
        <f>IF(Tabela1[[#This Row],[Data Admissão]]="","",PROPER(TEXT(Tabela1[[#This Row],[Data Admissão]],"mmm")))</f>
        <v>Out</v>
      </c>
      <c r="L183" s="21" t="str">
        <f>IF(Tabela1[[#This Row],[Data Admissão]]="","",PROPER(TEXT(Tabela1[[#This Row],[Data Admissão]],"aaaa")))</f>
        <v>2020</v>
      </c>
      <c r="M183" s="12" t="s">
        <v>599</v>
      </c>
      <c r="N183" s="22" t="str">
        <f>IFERROR(IF(Tabela1[[#This Row],[Data de Saída]]="","ATIVO","-"),"-")</f>
        <v>-</v>
      </c>
    </row>
    <row r="184" spans="5:14" ht="24.95" customHeight="1" x14ac:dyDescent="0.2">
      <c r="E184" s="26" t="s">
        <v>390</v>
      </c>
      <c r="F184" s="20">
        <v>33481</v>
      </c>
      <c r="G184" s="20">
        <v>44153</v>
      </c>
      <c r="H184" s="12" t="s">
        <v>20</v>
      </c>
      <c r="I184" s="21" t="str">
        <f>IF(Tabela1[[#This Row],[Data de Saída]]="","",PROPER(TEXT(Tabela1[[#This Row],[Data de Saída]],"mmm")))</f>
        <v>Fev</v>
      </c>
      <c r="J184" s="21" t="str">
        <f>IF(Tabela1[[#This Row],[Data de Saída]]="","",PROPER(TEXT(Tabela1[[#This Row],[Data de Saída]],"aaaa")))</f>
        <v>2021</v>
      </c>
      <c r="K184" s="27" t="str">
        <f>IF(Tabela1[[#This Row],[Data Admissão]]="","",PROPER(TEXT(Tabela1[[#This Row],[Data Admissão]],"mmm")))</f>
        <v>Nov</v>
      </c>
      <c r="L184" s="21" t="str">
        <f>IF(Tabela1[[#This Row],[Data Admissão]]="","",PROPER(TEXT(Tabela1[[#This Row],[Data Admissão]],"aaaa")))</f>
        <v>2020</v>
      </c>
      <c r="M184" s="12" t="s">
        <v>600</v>
      </c>
      <c r="N184" s="22" t="str">
        <f>IFERROR(IF(Tabela1[[#This Row],[Data de Saída]]="","ATIVO","-"),"-")</f>
        <v>-</v>
      </c>
    </row>
    <row r="185" spans="5:14" ht="24.95" customHeight="1" x14ac:dyDescent="0.2">
      <c r="E185" s="26" t="s">
        <v>391</v>
      </c>
      <c r="F185" s="20">
        <v>32775</v>
      </c>
      <c r="G185" s="20">
        <v>44158</v>
      </c>
      <c r="H185" s="12"/>
      <c r="I185" s="21" t="str">
        <f>IF(Tabela1[[#This Row],[Data de Saída]]="","",PROPER(TEXT(Tabela1[[#This Row],[Data de Saída]],"mmm")))</f>
        <v/>
      </c>
      <c r="J185" s="21" t="str">
        <f>IF(Tabela1[[#This Row],[Data de Saída]]="","",PROPER(TEXT(Tabela1[[#This Row],[Data de Saída]],"aaaa")))</f>
        <v/>
      </c>
      <c r="K185" s="27" t="str">
        <f>IF(Tabela1[[#This Row],[Data Admissão]]="","",PROPER(TEXT(Tabela1[[#This Row],[Data Admissão]],"mmm")))</f>
        <v>Nov</v>
      </c>
      <c r="L185" s="21" t="str">
        <f>IF(Tabela1[[#This Row],[Data Admissão]]="","",PROPER(TEXT(Tabela1[[#This Row],[Data Admissão]],"aaaa")))</f>
        <v>2020</v>
      </c>
      <c r="M185" s="12" t="s">
        <v>601</v>
      </c>
      <c r="N185" s="22" t="str">
        <f>IFERROR(IF(Tabela1[[#This Row],[Data de Saída]]="","ATIVO","-"),"-")</f>
        <v>ATIVO</v>
      </c>
    </row>
    <row r="186" spans="5:14" ht="24.95" customHeight="1" x14ac:dyDescent="0.2">
      <c r="E186" s="26" t="s">
        <v>392</v>
      </c>
      <c r="F186" s="20">
        <v>33170</v>
      </c>
      <c r="G186" s="20">
        <v>44158</v>
      </c>
      <c r="H186" s="12"/>
      <c r="I186" s="21" t="str">
        <f>IF(Tabela1[[#This Row],[Data de Saída]]="","",PROPER(TEXT(Tabela1[[#This Row],[Data de Saída]],"mmm")))</f>
        <v/>
      </c>
      <c r="J186" s="21" t="str">
        <f>IF(Tabela1[[#This Row],[Data de Saída]]="","",PROPER(TEXT(Tabela1[[#This Row],[Data de Saída]],"aaaa")))</f>
        <v/>
      </c>
      <c r="K186" s="27" t="str">
        <f>IF(Tabela1[[#This Row],[Data Admissão]]="","",PROPER(TEXT(Tabela1[[#This Row],[Data Admissão]],"mmm")))</f>
        <v>Nov</v>
      </c>
      <c r="L186" s="21" t="str">
        <f>IF(Tabela1[[#This Row],[Data Admissão]]="","",PROPER(TEXT(Tabela1[[#This Row],[Data Admissão]],"aaaa")))</f>
        <v>2020</v>
      </c>
      <c r="M186" s="12" t="s">
        <v>602</v>
      </c>
      <c r="N186" s="22" t="str">
        <f>IFERROR(IF(Tabela1[[#This Row],[Data de Saída]]="","ATIVO","-"),"-")</f>
        <v>ATIVO</v>
      </c>
    </row>
    <row r="187" spans="5:14" ht="24.95" customHeight="1" x14ac:dyDescent="0.2">
      <c r="E187" s="26" t="s">
        <v>393</v>
      </c>
      <c r="F187" s="20">
        <v>31115</v>
      </c>
      <c r="G187" s="20">
        <v>44158</v>
      </c>
      <c r="H187" s="12" t="s">
        <v>52</v>
      </c>
      <c r="I187" s="21" t="str">
        <f>IF(Tabela1[[#This Row],[Data de Saída]]="","",PROPER(TEXT(Tabela1[[#This Row],[Data de Saída]],"mmm")))</f>
        <v>Fev</v>
      </c>
      <c r="J187" s="21" t="str">
        <f>IF(Tabela1[[#This Row],[Data de Saída]]="","",PROPER(TEXT(Tabela1[[#This Row],[Data de Saída]],"aaaa")))</f>
        <v>2021</v>
      </c>
      <c r="K187" s="27" t="str">
        <f>IF(Tabela1[[#This Row],[Data Admissão]]="","",PROPER(TEXT(Tabela1[[#This Row],[Data Admissão]],"mmm")))</f>
        <v>Nov</v>
      </c>
      <c r="L187" s="21" t="str">
        <f>IF(Tabela1[[#This Row],[Data Admissão]]="","",PROPER(TEXT(Tabela1[[#This Row],[Data Admissão]],"aaaa")))</f>
        <v>2020</v>
      </c>
      <c r="M187" s="12" t="s">
        <v>594</v>
      </c>
      <c r="N187" s="22" t="str">
        <f>IFERROR(IF(Tabela1[[#This Row],[Data de Saída]]="","ATIVO","-"),"-")</f>
        <v>-</v>
      </c>
    </row>
    <row r="188" spans="5:14" ht="24.95" customHeight="1" x14ac:dyDescent="0.2">
      <c r="E188" s="26" t="s">
        <v>394</v>
      </c>
      <c r="F188" s="20">
        <v>34533</v>
      </c>
      <c r="G188" s="20">
        <v>44158</v>
      </c>
      <c r="H188" s="12" t="s">
        <v>41</v>
      </c>
      <c r="I188" s="21" t="str">
        <f>IF(Tabela1[[#This Row],[Data de Saída]]="","",PROPER(TEXT(Tabela1[[#This Row],[Data de Saída]],"mmm")))</f>
        <v>Jan</v>
      </c>
      <c r="J188" s="21" t="str">
        <f>IF(Tabela1[[#This Row],[Data de Saída]]="","",PROPER(TEXT(Tabela1[[#This Row],[Data de Saída]],"aaaa")))</f>
        <v>2021</v>
      </c>
      <c r="K188" s="27" t="str">
        <f>IF(Tabela1[[#This Row],[Data Admissão]]="","",PROPER(TEXT(Tabela1[[#This Row],[Data Admissão]],"mmm")))</f>
        <v>Nov</v>
      </c>
      <c r="L188" s="21" t="str">
        <f>IF(Tabela1[[#This Row],[Data Admissão]]="","",PROPER(TEXT(Tabela1[[#This Row],[Data Admissão]],"aaaa")))</f>
        <v>2020</v>
      </c>
      <c r="M188" s="12" t="s">
        <v>594</v>
      </c>
      <c r="N188" s="22" t="str">
        <f>IFERROR(IF(Tabela1[[#This Row],[Data de Saída]]="","ATIVO","-"),"-")</f>
        <v>-</v>
      </c>
    </row>
    <row r="189" spans="5:14" ht="24.95" customHeight="1" x14ac:dyDescent="0.2">
      <c r="E189" s="26" t="s">
        <v>395</v>
      </c>
      <c r="F189" s="20">
        <v>34978</v>
      </c>
      <c r="G189" s="20">
        <v>44158</v>
      </c>
      <c r="H189" s="12" t="s">
        <v>113</v>
      </c>
      <c r="I189" s="21" t="str">
        <f>IF(Tabela1[[#This Row],[Data de Saída]]="","",PROPER(TEXT(Tabela1[[#This Row],[Data de Saída]],"mmm")))</f>
        <v>Ago</v>
      </c>
      <c r="J189" s="21" t="str">
        <f>IF(Tabela1[[#This Row],[Data de Saída]]="","",PROPER(TEXT(Tabela1[[#This Row],[Data de Saída]],"aaaa")))</f>
        <v>2023</v>
      </c>
      <c r="K189" s="27" t="str">
        <f>IF(Tabela1[[#This Row],[Data Admissão]]="","",PROPER(TEXT(Tabela1[[#This Row],[Data Admissão]],"mmm")))</f>
        <v>Nov</v>
      </c>
      <c r="L189" s="21" t="str">
        <f>IF(Tabela1[[#This Row],[Data Admissão]]="","",PROPER(TEXT(Tabela1[[#This Row],[Data Admissão]],"aaaa")))</f>
        <v>2020</v>
      </c>
      <c r="M189" s="12" t="s">
        <v>595</v>
      </c>
      <c r="N189" s="22" t="str">
        <f>IFERROR(IF(Tabela1[[#This Row],[Data de Saída]]="","ATIVO","-"),"-")</f>
        <v>-</v>
      </c>
    </row>
    <row r="190" spans="5:14" ht="24.95" customHeight="1" x14ac:dyDescent="0.2">
      <c r="E190" s="26" t="s">
        <v>396</v>
      </c>
      <c r="F190" s="20">
        <v>32010</v>
      </c>
      <c r="G190" s="20">
        <v>44158</v>
      </c>
      <c r="H190" s="12" t="s">
        <v>85</v>
      </c>
      <c r="I190" s="21" t="str">
        <f>IF(Tabela1[[#This Row],[Data de Saída]]="","",PROPER(TEXT(Tabela1[[#This Row],[Data de Saída]],"mmm")))</f>
        <v>Set</v>
      </c>
      <c r="J190" s="21" t="str">
        <f>IF(Tabela1[[#This Row],[Data de Saída]]="","",PROPER(TEXT(Tabela1[[#This Row],[Data de Saída]],"aaaa")))</f>
        <v>2021</v>
      </c>
      <c r="K190" s="27" t="str">
        <f>IF(Tabela1[[#This Row],[Data Admissão]]="","",PROPER(TEXT(Tabela1[[#This Row],[Data Admissão]],"mmm")))</f>
        <v>Nov</v>
      </c>
      <c r="L190" s="21" t="str">
        <f>IF(Tabela1[[#This Row],[Data Admissão]]="","",PROPER(TEXT(Tabela1[[#This Row],[Data Admissão]],"aaaa")))</f>
        <v>2020</v>
      </c>
      <c r="M190" s="12" t="s">
        <v>596</v>
      </c>
      <c r="N190" s="22" t="str">
        <f>IFERROR(IF(Tabela1[[#This Row],[Data de Saída]]="","ATIVO","-"),"-")</f>
        <v>-</v>
      </c>
    </row>
    <row r="191" spans="5:14" ht="24.95" customHeight="1" x14ac:dyDescent="0.2">
      <c r="E191" s="26" t="s">
        <v>397</v>
      </c>
      <c r="F191" s="20">
        <v>35424</v>
      </c>
      <c r="G191" s="20">
        <v>44158</v>
      </c>
      <c r="H191" s="12" t="s">
        <v>153</v>
      </c>
      <c r="I191" s="21" t="str">
        <f>IF(Tabela1[[#This Row],[Data de Saída]]="","",PROPER(TEXT(Tabela1[[#This Row],[Data de Saída]],"mmm")))</f>
        <v>Dez</v>
      </c>
      <c r="J191" s="21" t="str">
        <f>IF(Tabela1[[#This Row],[Data de Saída]]="","",PROPER(TEXT(Tabela1[[#This Row],[Data de Saída]],"aaaa")))</f>
        <v>2020</v>
      </c>
      <c r="K191" s="27" t="str">
        <f>IF(Tabela1[[#This Row],[Data Admissão]]="","",PROPER(TEXT(Tabela1[[#This Row],[Data Admissão]],"mmm")))</f>
        <v>Nov</v>
      </c>
      <c r="L191" s="21" t="str">
        <f>IF(Tabela1[[#This Row],[Data Admissão]]="","",PROPER(TEXT(Tabela1[[#This Row],[Data Admissão]],"aaaa")))</f>
        <v>2020</v>
      </c>
      <c r="M191" s="12" t="s">
        <v>597</v>
      </c>
      <c r="N191" s="22" t="str">
        <f>IFERROR(IF(Tabela1[[#This Row],[Data de Saída]]="","ATIVO","-"),"-")</f>
        <v>-</v>
      </c>
    </row>
    <row r="192" spans="5:14" ht="24.95" customHeight="1" x14ac:dyDescent="0.2">
      <c r="E192" s="26" t="s">
        <v>398</v>
      </c>
      <c r="F192" s="20">
        <v>30911</v>
      </c>
      <c r="G192" s="20">
        <v>44172</v>
      </c>
      <c r="H192" s="12"/>
      <c r="I192" s="21" t="str">
        <f>IF(Tabela1[[#This Row],[Data de Saída]]="","",PROPER(TEXT(Tabela1[[#This Row],[Data de Saída]],"mmm")))</f>
        <v/>
      </c>
      <c r="J192" s="21" t="str">
        <f>IF(Tabela1[[#This Row],[Data de Saída]]="","",PROPER(TEXT(Tabela1[[#This Row],[Data de Saída]],"aaaa")))</f>
        <v/>
      </c>
      <c r="K192" s="27" t="str">
        <f>IF(Tabela1[[#This Row],[Data Admissão]]="","",PROPER(TEXT(Tabela1[[#This Row],[Data Admissão]],"mmm")))</f>
        <v>Dez</v>
      </c>
      <c r="L192" s="21" t="str">
        <f>IF(Tabela1[[#This Row],[Data Admissão]]="","",PROPER(TEXT(Tabela1[[#This Row],[Data Admissão]],"aaaa")))</f>
        <v>2020</v>
      </c>
      <c r="M192" s="12" t="s">
        <v>598</v>
      </c>
      <c r="N192" s="22" t="str">
        <f>IFERROR(IF(Tabela1[[#This Row],[Data de Saída]]="","ATIVO","-"),"-")</f>
        <v>ATIVO</v>
      </c>
    </row>
    <row r="193" spans="5:14" ht="24.95" customHeight="1" x14ac:dyDescent="0.2">
      <c r="E193" s="26" t="s">
        <v>399</v>
      </c>
      <c r="F193" s="20">
        <v>34117</v>
      </c>
      <c r="G193" s="20">
        <v>44175</v>
      </c>
      <c r="H193" s="12" t="s">
        <v>69</v>
      </c>
      <c r="I193" s="21" t="str">
        <f>IF(Tabela1[[#This Row],[Data de Saída]]="","",PROPER(TEXT(Tabela1[[#This Row],[Data de Saída]],"mmm")))</f>
        <v>Mar</v>
      </c>
      <c r="J193" s="21" t="str">
        <f>IF(Tabela1[[#This Row],[Data de Saída]]="","",PROPER(TEXT(Tabela1[[#This Row],[Data de Saída]],"aaaa")))</f>
        <v>2021</v>
      </c>
      <c r="K193" s="27" t="str">
        <f>IF(Tabela1[[#This Row],[Data Admissão]]="","",PROPER(TEXT(Tabela1[[#This Row],[Data Admissão]],"mmm")))</f>
        <v>Dez</v>
      </c>
      <c r="L193" s="21" t="str">
        <f>IF(Tabela1[[#This Row],[Data Admissão]]="","",PROPER(TEXT(Tabela1[[#This Row],[Data Admissão]],"aaaa")))</f>
        <v>2020</v>
      </c>
      <c r="M193" s="12" t="s">
        <v>599</v>
      </c>
      <c r="N193" s="22" t="str">
        <f>IFERROR(IF(Tabela1[[#This Row],[Data de Saída]]="","ATIVO","-"),"-")</f>
        <v>-</v>
      </c>
    </row>
    <row r="194" spans="5:14" ht="24.95" customHeight="1" x14ac:dyDescent="0.2">
      <c r="E194" s="26" t="s">
        <v>400</v>
      </c>
      <c r="F194" s="20">
        <v>34204</v>
      </c>
      <c r="G194" s="20">
        <v>44287</v>
      </c>
      <c r="H194" s="12" t="s">
        <v>28</v>
      </c>
      <c r="I194" s="21" t="str">
        <f>IF(Tabela1[[#This Row],[Data de Saída]]="","",PROPER(TEXT(Tabela1[[#This Row],[Data de Saída]],"mmm")))</f>
        <v>Jul</v>
      </c>
      <c r="J194" s="21" t="str">
        <f>IF(Tabela1[[#This Row],[Data de Saída]]="","",PROPER(TEXT(Tabela1[[#This Row],[Data de Saída]],"aaaa")))</f>
        <v>2022</v>
      </c>
      <c r="K194" s="27" t="str">
        <f>IF(Tabela1[[#This Row],[Data Admissão]]="","",PROPER(TEXT(Tabela1[[#This Row],[Data Admissão]],"mmm")))</f>
        <v>Abr</v>
      </c>
      <c r="L194" s="21" t="str">
        <f>IF(Tabela1[[#This Row],[Data Admissão]]="","",PROPER(TEXT(Tabela1[[#This Row],[Data Admissão]],"aaaa")))</f>
        <v>2021</v>
      </c>
      <c r="M194" s="12" t="s">
        <v>599</v>
      </c>
      <c r="N194" s="22" t="str">
        <f>IFERROR(IF(Tabela1[[#This Row],[Data de Saída]]="","ATIVO","-"),"-")</f>
        <v>-</v>
      </c>
    </row>
    <row r="195" spans="5:14" ht="24.95" customHeight="1" x14ac:dyDescent="0.2">
      <c r="E195" s="26" t="s">
        <v>401</v>
      </c>
      <c r="F195" s="20">
        <v>34207</v>
      </c>
      <c r="G195" s="20">
        <v>44327</v>
      </c>
      <c r="H195" s="12" t="s">
        <v>32</v>
      </c>
      <c r="I195" s="21" t="str">
        <f>IF(Tabela1[[#This Row],[Data de Saída]]="","",PROPER(TEXT(Tabela1[[#This Row],[Data de Saída]],"mmm")))</f>
        <v>Jun</v>
      </c>
      <c r="J195" s="21" t="str">
        <f>IF(Tabela1[[#This Row],[Data de Saída]]="","",PROPER(TEXT(Tabela1[[#This Row],[Data de Saída]],"aaaa")))</f>
        <v>2021</v>
      </c>
      <c r="K195" s="27" t="str">
        <f>IF(Tabela1[[#This Row],[Data Admissão]]="","",PROPER(TEXT(Tabela1[[#This Row],[Data Admissão]],"mmm")))</f>
        <v>Mai</v>
      </c>
      <c r="L195" s="21" t="str">
        <f>IF(Tabela1[[#This Row],[Data Admissão]]="","",PROPER(TEXT(Tabela1[[#This Row],[Data Admissão]],"aaaa")))</f>
        <v>2021</v>
      </c>
      <c r="M195" s="12" t="s">
        <v>599</v>
      </c>
      <c r="N195" s="22" t="str">
        <f>IFERROR(IF(Tabela1[[#This Row],[Data de Saída]]="","ATIVO","-"),"-")</f>
        <v>-</v>
      </c>
    </row>
    <row r="196" spans="5:14" ht="24.95" customHeight="1" x14ac:dyDescent="0.2">
      <c r="E196" s="26" t="s">
        <v>402</v>
      </c>
      <c r="F196" s="20">
        <v>31456</v>
      </c>
      <c r="G196" s="20">
        <v>44327</v>
      </c>
      <c r="H196" s="12"/>
      <c r="I196" s="21" t="str">
        <f>IF(Tabela1[[#This Row],[Data de Saída]]="","",PROPER(TEXT(Tabela1[[#This Row],[Data de Saída]],"mmm")))</f>
        <v/>
      </c>
      <c r="J196" s="21" t="str">
        <f>IF(Tabela1[[#This Row],[Data de Saída]]="","",PROPER(TEXT(Tabela1[[#This Row],[Data de Saída]],"aaaa")))</f>
        <v/>
      </c>
      <c r="K196" s="27" t="str">
        <f>IF(Tabela1[[#This Row],[Data Admissão]]="","",PROPER(TEXT(Tabela1[[#This Row],[Data Admissão]],"mmm")))</f>
        <v>Mai</v>
      </c>
      <c r="L196" s="21" t="str">
        <f>IF(Tabela1[[#This Row],[Data Admissão]]="","",PROPER(TEXT(Tabela1[[#This Row],[Data Admissão]],"aaaa")))</f>
        <v>2021</v>
      </c>
      <c r="M196" s="12" t="s">
        <v>599</v>
      </c>
      <c r="N196" s="22" t="str">
        <f>IFERROR(IF(Tabela1[[#This Row],[Data de Saída]]="","ATIVO","-"),"-")</f>
        <v>ATIVO</v>
      </c>
    </row>
    <row r="197" spans="5:14" ht="24.95" customHeight="1" x14ac:dyDescent="0.2">
      <c r="E197" s="26" t="s">
        <v>403</v>
      </c>
      <c r="F197" s="20">
        <v>35592</v>
      </c>
      <c r="G197" s="20">
        <v>44327</v>
      </c>
      <c r="H197" s="12" t="s">
        <v>4</v>
      </c>
      <c r="I197" s="21" t="str">
        <f>IF(Tabela1[[#This Row],[Data de Saída]]="","",PROPER(TEXT(Tabela1[[#This Row],[Data de Saída]],"mmm")))</f>
        <v>Mai</v>
      </c>
      <c r="J197" s="21" t="str">
        <f>IF(Tabela1[[#This Row],[Data de Saída]]="","",PROPER(TEXT(Tabela1[[#This Row],[Data de Saída]],"aaaa")))</f>
        <v>2023</v>
      </c>
      <c r="K197" s="27" t="str">
        <f>IF(Tabela1[[#This Row],[Data Admissão]]="","",PROPER(TEXT(Tabela1[[#This Row],[Data Admissão]],"mmm")))</f>
        <v>Mai</v>
      </c>
      <c r="L197" s="21" t="str">
        <f>IF(Tabela1[[#This Row],[Data Admissão]]="","",PROPER(TEXT(Tabela1[[#This Row],[Data Admissão]],"aaaa")))</f>
        <v>2021</v>
      </c>
      <c r="M197" s="12" t="s">
        <v>600</v>
      </c>
      <c r="N197" s="22" t="str">
        <f>IFERROR(IF(Tabela1[[#This Row],[Data de Saída]]="","ATIVO","-"),"-")</f>
        <v>-</v>
      </c>
    </row>
    <row r="198" spans="5:14" ht="24.95" customHeight="1" x14ac:dyDescent="0.2">
      <c r="E198" s="26" t="s">
        <v>404</v>
      </c>
      <c r="F198" s="20">
        <v>30722</v>
      </c>
      <c r="G198" s="20">
        <v>44327</v>
      </c>
      <c r="H198" s="12" t="s">
        <v>32</v>
      </c>
      <c r="I198" s="21" t="str">
        <f>IF(Tabela1[[#This Row],[Data de Saída]]="","",PROPER(TEXT(Tabela1[[#This Row],[Data de Saída]],"mmm")))</f>
        <v>Jun</v>
      </c>
      <c r="J198" s="21" t="str">
        <f>IF(Tabela1[[#This Row],[Data de Saída]]="","",PROPER(TEXT(Tabela1[[#This Row],[Data de Saída]],"aaaa")))</f>
        <v>2021</v>
      </c>
      <c r="K198" s="27" t="str">
        <f>IF(Tabela1[[#This Row],[Data Admissão]]="","",PROPER(TEXT(Tabela1[[#This Row],[Data Admissão]],"mmm")))</f>
        <v>Mai</v>
      </c>
      <c r="L198" s="21" t="str">
        <f>IF(Tabela1[[#This Row],[Data Admissão]]="","",PROPER(TEXT(Tabela1[[#This Row],[Data Admissão]],"aaaa")))</f>
        <v>2021</v>
      </c>
      <c r="M198" s="12" t="s">
        <v>601</v>
      </c>
      <c r="N198" s="22" t="str">
        <f>IFERROR(IF(Tabela1[[#This Row],[Data de Saída]]="","ATIVO","-"),"-")</f>
        <v>-</v>
      </c>
    </row>
    <row r="199" spans="5:14" ht="24.95" customHeight="1" x14ac:dyDescent="0.2">
      <c r="E199" s="26" t="s">
        <v>405</v>
      </c>
      <c r="F199" s="20">
        <v>35126</v>
      </c>
      <c r="G199" s="20">
        <v>44327</v>
      </c>
      <c r="H199" s="12" t="s">
        <v>14</v>
      </c>
      <c r="I199" s="21" t="str">
        <f>IF(Tabela1[[#This Row],[Data de Saída]]="","",PROPER(TEXT(Tabela1[[#This Row],[Data de Saída]],"mmm")))</f>
        <v>Abr</v>
      </c>
      <c r="J199" s="21" t="str">
        <f>IF(Tabela1[[#This Row],[Data de Saída]]="","",PROPER(TEXT(Tabela1[[#This Row],[Data de Saída]],"aaaa")))</f>
        <v>2022</v>
      </c>
      <c r="K199" s="27" t="str">
        <f>IF(Tabela1[[#This Row],[Data Admissão]]="","",PROPER(TEXT(Tabela1[[#This Row],[Data Admissão]],"mmm")))</f>
        <v>Mai</v>
      </c>
      <c r="L199" s="21" t="str">
        <f>IF(Tabela1[[#This Row],[Data Admissão]]="","",PROPER(TEXT(Tabela1[[#This Row],[Data Admissão]],"aaaa")))</f>
        <v>2021</v>
      </c>
      <c r="M199" s="12" t="s">
        <v>602</v>
      </c>
      <c r="N199" s="22" t="str">
        <f>IFERROR(IF(Tabela1[[#This Row],[Data de Saída]]="","ATIVO","-"),"-")</f>
        <v>-</v>
      </c>
    </row>
    <row r="200" spans="5:14" ht="24.95" customHeight="1" x14ac:dyDescent="0.2">
      <c r="E200" s="26" t="s">
        <v>406</v>
      </c>
      <c r="F200" s="20">
        <v>36087</v>
      </c>
      <c r="G200" s="20">
        <v>44327</v>
      </c>
      <c r="H200" s="12" t="s">
        <v>144</v>
      </c>
      <c r="I200" s="21" t="str">
        <f>IF(Tabela1[[#This Row],[Data de Saída]]="","",PROPER(TEXT(Tabela1[[#This Row],[Data de Saída]],"mmm")))</f>
        <v>Ago</v>
      </c>
      <c r="J200" s="21" t="str">
        <f>IF(Tabela1[[#This Row],[Data de Saída]]="","",PROPER(TEXT(Tabela1[[#This Row],[Data de Saída]],"aaaa")))</f>
        <v>2021</v>
      </c>
      <c r="K200" s="27" t="str">
        <f>IF(Tabela1[[#This Row],[Data Admissão]]="","",PROPER(TEXT(Tabela1[[#This Row],[Data Admissão]],"mmm")))</f>
        <v>Mai</v>
      </c>
      <c r="L200" s="21" t="str">
        <f>IF(Tabela1[[#This Row],[Data Admissão]]="","",PROPER(TEXT(Tabela1[[#This Row],[Data Admissão]],"aaaa")))</f>
        <v>2021</v>
      </c>
      <c r="M200" s="12" t="s">
        <v>594</v>
      </c>
      <c r="N200" s="22" t="str">
        <f>IFERROR(IF(Tabela1[[#This Row],[Data de Saída]]="","ATIVO","-"),"-")</f>
        <v>-</v>
      </c>
    </row>
    <row r="201" spans="5:14" ht="24.95" customHeight="1" x14ac:dyDescent="0.2">
      <c r="E201" s="26" t="s">
        <v>407</v>
      </c>
      <c r="F201" s="20">
        <v>30610</v>
      </c>
      <c r="G201" s="20">
        <v>44327</v>
      </c>
      <c r="H201" s="12" t="s">
        <v>146</v>
      </c>
      <c r="I201" s="21" t="str">
        <f>IF(Tabela1[[#This Row],[Data de Saída]]="","",PROPER(TEXT(Tabela1[[#This Row],[Data de Saída]],"mmm")))</f>
        <v>Mai</v>
      </c>
      <c r="J201" s="21" t="str">
        <f>IF(Tabela1[[#This Row],[Data de Saída]]="","",PROPER(TEXT(Tabela1[[#This Row],[Data de Saída]],"aaaa")))</f>
        <v>2021</v>
      </c>
      <c r="K201" s="27" t="str">
        <f>IF(Tabela1[[#This Row],[Data Admissão]]="","",PROPER(TEXT(Tabela1[[#This Row],[Data Admissão]],"mmm")))</f>
        <v>Mai</v>
      </c>
      <c r="L201" s="21" t="str">
        <f>IF(Tabela1[[#This Row],[Data Admissão]]="","",PROPER(TEXT(Tabela1[[#This Row],[Data Admissão]],"aaaa")))</f>
        <v>2021</v>
      </c>
      <c r="M201" s="12" t="s">
        <v>594</v>
      </c>
      <c r="N201" s="22" t="str">
        <f>IFERROR(IF(Tabela1[[#This Row],[Data de Saída]]="","ATIVO","-"),"-")</f>
        <v>-</v>
      </c>
    </row>
    <row r="202" spans="5:14" ht="24.95" customHeight="1" x14ac:dyDescent="0.2">
      <c r="E202" s="26" t="s">
        <v>408</v>
      </c>
      <c r="F202" s="20">
        <v>34013</v>
      </c>
      <c r="G202" s="20">
        <v>44330</v>
      </c>
      <c r="H202" s="12" t="s">
        <v>89</v>
      </c>
      <c r="I202" s="21" t="str">
        <f>IF(Tabela1[[#This Row],[Data de Saída]]="","",PROPER(TEXT(Tabela1[[#This Row],[Data de Saída]],"mmm")))</f>
        <v>Ago</v>
      </c>
      <c r="J202" s="21" t="str">
        <f>IF(Tabela1[[#This Row],[Data de Saída]]="","",PROPER(TEXT(Tabela1[[#This Row],[Data de Saída]],"aaaa")))</f>
        <v>2021</v>
      </c>
      <c r="K202" s="27" t="str">
        <f>IF(Tabela1[[#This Row],[Data Admissão]]="","",PROPER(TEXT(Tabela1[[#This Row],[Data Admissão]],"mmm")))</f>
        <v>Mai</v>
      </c>
      <c r="L202" s="21" t="str">
        <f>IF(Tabela1[[#This Row],[Data Admissão]]="","",PROPER(TEXT(Tabela1[[#This Row],[Data Admissão]],"aaaa")))</f>
        <v>2021</v>
      </c>
      <c r="M202" s="12" t="s">
        <v>595</v>
      </c>
      <c r="N202" s="22" t="str">
        <f>IFERROR(IF(Tabela1[[#This Row],[Data de Saída]]="","ATIVO","-"),"-")</f>
        <v>-</v>
      </c>
    </row>
    <row r="203" spans="5:14" ht="24.95" customHeight="1" x14ac:dyDescent="0.2">
      <c r="E203" s="26" t="s">
        <v>409</v>
      </c>
      <c r="F203" s="20">
        <v>37603</v>
      </c>
      <c r="G203" s="20">
        <v>44330</v>
      </c>
      <c r="H203" s="12" t="s">
        <v>32</v>
      </c>
      <c r="I203" s="21" t="str">
        <f>IF(Tabela1[[#This Row],[Data de Saída]]="","",PROPER(TEXT(Tabela1[[#This Row],[Data de Saída]],"mmm")))</f>
        <v>Jun</v>
      </c>
      <c r="J203" s="21" t="str">
        <f>IF(Tabela1[[#This Row],[Data de Saída]]="","",PROPER(TEXT(Tabela1[[#This Row],[Data de Saída]],"aaaa")))</f>
        <v>2021</v>
      </c>
      <c r="K203" s="27" t="str">
        <f>IF(Tabela1[[#This Row],[Data Admissão]]="","",PROPER(TEXT(Tabela1[[#This Row],[Data Admissão]],"mmm")))</f>
        <v>Mai</v>
      </c>
      <c r="L203" s="21" t="str">
        <f>IF(Tabela1[[#This Row],[Data Admissão]]="","",PROPER(TEXT(Tabela1[[#This Row],[Data Admissão]],"aaaa")))</f>
        <v>2021</v>
      </c>
      <c r="M203" s="12" t="s">
        <v>596</v>
      </c>
      <c r="N203" s="22" t="str">
        <f>IFERROR(IF(Tabela1[[#This Row],[Data de Saída]]="","ATIVO","-"),"-")</f>
        <v>-</v>
      </c>
    </row>
    <row r="204" spans="5:14" ht="24.95" customHeight="1" x14ac:dyDescent="0.2">
      <c r="E204" s="26" t="s">
        <v>410</v>
      </c>
      <c r="F204" s="20">
        <v>23038</v>
      </c>
      <c r="G204" s="20">
        <v>44340</v>
      </c>
      <c r="H204" s="12" t="s">
        <v>54</v>
      </c>
      <c r="I204" s="21" t="str">
        <f>IF(Tabela1[[#This Row],[Data de Saída]]="","",PROPER(TEXT(Tabela1[[#This Row],[Data de Saída]],"mmm")))</f>
        <v>Fev</v>
      </c>
      <c r="J204" s="21" t="str">
        <f>IF(Tabela1[[#This Row],[Data de Saída]]="","",PROPER(TEXT(Tabela1[[#This Row],[Data de Saída]],"aaaa")))</f>
        <v>2022</v>
      </c>
      <c r="K204" s="27" t="str">
        <f>IF(Tabela1[[#This Row],[Data Admissão]]="","",PROPER(TEXT(Tabela1[[#This Row],[Data Admissão]],"mmm")))</f>
        <v>Mai</v>
      </c>
      <c r="L204" s="21" t="str">
        <f>IF(Tabela1[[#This Row],[Data Admissão]]="","",PROPER(TEXT(Tabela1[[#This Row],[Data Admissão]],"aaaa")))</f>
        <v>2021</v>
      </c>
      <c r="M204" s="12" t="s">
        <v>597</v>
      </c>
      <c r="N204" s="22" t="str">
        <f>IFERROR(IF(Tabela1[[#This Row],[Data de Saída]]="","ATIVO","-"),"-")</f>
        <v>-</v>
      </c>
    </row>
    <row r="205" spans="5:14" ht="24.95" customHeight="1" x14ac:dyDescent="0.2">
      <c r="E205" s="26" t="s">
        <v>411</v>
      </c>
      <c r="F205" s="20">
        <v>35951</v>
      </c>
      <c r="G205" s="20">
        <v>44345</v>
      </c>
      <c r="H205" s="12" t="s">
        <v>16</v>
      </c>
      <c r="I205" s="21" t="str">
        <f>IF(Tabela1[[#This Row],[Data de Saída]]="","",PROPER(TEXT(Tabela1[[#This Row],[Data de Saída]],"mmm")))</f>
        <v>Mai</v>
      </c>
      <c r="J205" s="21" t="str">
        <f>IF(Tabela1[[#This Row],[Data de Saída]]="","",PROPER(TEXT(Tabela1[[#This Row],[Data de Saída]],"aaaa")))</f>
        <v>2022</v>
      </c>
      <c r="K205" s="27" t="str">
        <f>IF(Tabela1[[#This Row],[Data Admissão]]="","",PROPER(TEXT(Tabela1[[#This Row],[Data Admissão]],"mmm")))</f>
        <v>Mai</v>
      </c>
      <c r="L205" s="21" t="str">
        <f>IF(Tabela1[[#This Row],[Data Admissão]]="","",PROPER(TEXT(Tabela1[[#This Row],[Data Admissão]],"aaaa")))</f>
        <v>2021</v>
      </c>
      <c r="M205" s="12" t="s">
        <v>598</v>
      </c>
      <c r="N205" s="22" t="str">
        <f>IFERROR(IF(Tabela1[[#This Row],[Data de Saída]]="","ATIVO","-"),"-")</f>
        <v>-</v>
      </c>
    </row>
    <row r="206" spans="5:14" ht="24.95" customHeight="1" x14ac:dyDescent="0.2">
      <c r="E206" s="26" t="s">
        <v>412</v>
      </c>
      <c r="F206" s="20">
        <v>34330</v>
      </c>
      <c r="G206" s="20">
        <v>44345</v>
      </c>
      <c r="H206" s="12"/>
      <c r="I206" s="21" t="str">
        <f>IF(Tabela1[[#This Row],[Data de Saída]]="","",PROPER(TEXT(Tabela1[[#This Row],[Data de Saída]],"mmm")))</f>
        <v/>
      </c>
      <c r="J206" s="21" t="str">
        <f>IF(Tabela1[[#This Row],[Data de Saída]]="","",PROPER(TEXT(Tabela1[[#This Row],[Data de Saída]],"aaaa")))</f>
        <v/>
      </c>
      <c r="K206" s="27" t="str">
        <f>IF(Tabela1[[#This Row],[Data Admissão]]="","",PROPER(TEXT(Tabela1[[#This Row],[Data Admissão]],"mmm")))</f>
        <v>Mai</v>
      </c>
      <c r="L206" s="21" t="str">
        <f>IF(Tabela1[[#This Row],[Data Admissão]]="","",PROPER(TEXT(Tabela1[[#This Row],[Data Admissão]],"aaaa")))</f>
        <v>2021</v>
      </c>
      <c r="M206" s="12" t="s">
        <v>599</v>
      </c>
      <c r="N206" s="22" t="str">
        <f>IFERROR(IF(Tabela1[[#This Row],[Data de Saída]]="","ATIVO","-"),"-")</f>
        <v>ATIVO</v>
      </c>
    </row>
    <row r="207" spans="5:14" ht="24.95" customHeight="1" x14ac:dyDescent="0.2">
      <c r="E207" s="26" t="s">
        <v>413</v>
      </c>
      <c r="F207" s="20">
        <v>32514</v>
      </c>
      <c r="G207" s="20">
        <v>44345</v>
      </c>
      <c r="H207" s="12" t="s">
        <v>14</v>
      </c>
      <c r="I207" s="21" t="str">
        <f>IF(Tabela1[[#This Row],[Data de Saída]]="","",PROPER(TEXT(Tabela1[[#This Row],[Data de Saída]],"mmm")))</f>
        <v>Abr</v>
      </c>
      <c r="J207" s="21" t="str">
        <f>IF(Tabela1[[#This Row],[Data de Saída]]="","",PROPER(TEXT(Tabela1[[#This Row],[Data de Saída]],"aaaa")))</f>
        <v>2022</v>
      </c>
      <c r="K207" s="27" t="str">
        <f>IF(Tabela1[[#This Row],[Data Admissão]]="","",PROPER(TEXT(Tabela1[[#This Row],[Data Admissão]],"mmm")))</f>
        <v>Mai</v>
      </c>
      <c r="L207" s="21" t="str">
        <f>IF(Tabela1[[#This Row],[Data Admissão]]="","",PROPER(TEXT(Tabela1[[#This Row],[Data Admissão]],"aaaa")))</f>
        <v>2021</v>
      </c>
      <c r="M207" s="12" t="s">
        <v>599</v>
      </c>
      <c r="N207" s="22" t="str">
        <f>IFERROR(IF(Tabela1[[#This Row],[Data de Saída]]="","ATIVO","-"),"-")</f>
        <v>-</v>
      </c>
    </row>
    <row r="208" spans="5:14" ht="24.95" customHeight="1" x14ac:dyDescent="0.2">
      <c r="E208" s="26" t="s">
        <v>414</v>
      </c>
      <c r="F208" s="20">
        <v>31225</v>
      </c>
      <c r="G208" s="20">
        <v>44345</v>
      </c>
      <c r="H208" s="12" t="s">
        <v>48</v>
      </c>
      <c r="I208" s="21" t="str">
        <f>IF(Tabela1[[#This Row],[Data de Saída]]="","",PROPER(TEXT(Tabela1[[#This Row],[Data de Saída]],"mmm")))</f>
        <v>Abr</v>
      </c>
      <c r="J208" s="21" t="str">
        <f>IF(Tabela1[[#This Row],[Data de Saída]]="","",PROPER(TEXT(Tabela1[[#This Row],[Data de Saída]],"aaaa")))</f>
        <v>2022</v>
      </c>
      <c r="K208" s="27" t="str">
        <f>IF(Tabela1[[#This Row],[Data Admissão]]="","",PROPER(TEXT(Tabela1[[#This Row],[Data Admissão]],"mmm")))</f>
        <v>Mai</v>
      </c>
      <c r="L208" s="21" t="str">
        <f>IF(Tabela1[[#This Row],[Data Admissão]]="","",PROPER(TEXT(Tabela1[[#This Row],[Data Admissão]],"aaaa")))</f>
        <v>2021</v>
      </c>
      <c r="M208" s="12" t="s">
        <v>599</v>
      </c>
      <c r="N208" s="22" t="str">
        <f>IFERROR(IF(Tabela1[[#This Row],[Data de Saída]]="","ATIVO","-"),"-")</f>
        <v>-</v>
      </c>
    </row>
    <row r="209" spans="5:14" ht="24.95" customHeight="1" x14ac:dyDescent="0.2">
      <c r="E209" s="26" t="s">
        <v>415</v>
      </c>
      <c r="F209" s="20">
        <v>33152</v>
      </c>
      <c r="G209" s="20">
        <v>44345</v>
      </c>
      <c r="H209" s="12" t="s">
        <v>16</v>
      </c>
      <c r="I209" s="21" t="str">
        <f>IF(Tabela1[[#This Row],[Data de Saída]]="","",PROPER(TEXT(Tabela1[[#This Row],[Data de Saída]],"mmm")))</f>
        <v>Mai</v>
      </c>
      <c r="J209" s="21" t="str">
        <f>IF(Tabela1[[#This Row],[Data de Saída]]="","",PROPER(TEXT(Tabela1[[#This Row],[Data de Saída]],"aaaa")))</f>
        <v>2022</v>
      </c>
      <c r="K209" s="27" t="str">
        <f>IF(Tabela1[[#This Row],[Data Admissão]]="","",PROPER(TEXT(Tabela1[[#This Row],[Data Admissão]],"mmm")))</f>
        <v>Mai</v>
      </c>
      <c r="L209" s="21" t="str">
        <f>IF(Tabela1[[#This Row],[Data Admissão]]="","",PROPER(TEXT(Tabela1[[#This Row],[Data Admissão]],"aaaa")))</f>
        <v>2021</v>
      </c>
      <c r="M209" s="12" t="s">
        <v>599</v>
      </c>
      <c r="N209" s="22" t="str">
        <f>IFERROR(IF(Tabela1[[#This Row],[Data de Saída]]="","ATIVO","-"),"-")</f>
        <v>-</v>
      </c>
    </row>
    <row r="210" spans="5:14" ht="24.95" customHeight="1" x14ac:dyDescent="0.2">
      <c r="E210" s="26" t="s">
        <v>416</v>
      </c>
      <c r="F210" s="20">
        <v>34358</v>
      </c>
      <c r="G210" s="20">
        <v>44345</v>
      </c>
      <c r="H210" s="12" t="s">
        <v>14</v>
      </c>
      <c r="I210" s="21" t="str">
        <f>IF(Tabela1[[#This Row],[Data de Saída]]="","",PROPER(TEXT(Tabela1[[#This Row],[Data de Saída]],"mmm")))</f>
        <v>Abr</v>
      </c>
      <c r="J210" s="21" t="str">
        <f>IF(Tabela1[[#This Row],[Data de Saída]]="","",PROPER(TEXT(Tabela1[[#This Row],[Data de Saída]],"aaaa")))</f>
        <v>2022</v>
      </c>
      <c r="K210" s="27" t="str">
        <f>IF(Tabela1[[#This Row],[Data Admissão]]="","",PROPER(TEXT(Tabela1[[#This Row],[Data Admissão]],"mmm")))</f>
        <v>Mai</v>
      </c>
      <c r="L210" s="21" t="str">
        <f>IF(Tabela1[[#This Row],[Data Admissão]]="","",PROPER(TEXT(Tabela1[[#This Row],[Data Admissão]],"aaaa")))</f>
        <v>2021</v>
      </c>
      <c r="M210" s="12" t="s">
        <v>600</v>
      </c>
      <c r="N210" s="22" t="str">
        <f>IFERROR(IF(Tabela1[[#This Row],[Data de Saída]]="","ATIVO","-"),"-")</f>
        <v>-</v>
      </c>
    </row>
    <row r="211" spans="5:14" ht="24.95" customHeight="1" x14ac:dyDescent="0.2">
      <c r="E211" s="26" t="s">
        <v>417</v>
      </c>
      <c r="F211" s="20">
        <v>34574</v>
      </c>
      <c r="G211" s="20">
        <v>44345</v>
      </c>
      <c r="H211" s="12" t="s">
        <v>4</v>
      </c>
      <c r="I211" s="21" t="str">
        <f>IF(Tabela1[[#This Row],[Data de Saída]]="","",PROPER(TEXT(Tabela1[[#This Row],[Data de Saída]],"mmm")))</f>
        <v>Mai</v>
      </c>
      <c r="J211" s="21" t="str">
        <f>IF(Tabela1[[#This Row],[Data de Saída]]="","",PROPER(TEXT(Tabela1[[#This Row],[Data de Saída]],"aaaa")))</f>
        <v>2023</v>
      </c>
      <c r="K211" s="27" t="str">
        <f>IF(Tabela1[[#This Row],[Data Admissão]]="","",PROPER(TEXT(Tabela1[[#This Row],[Data Admissão]],"mmm")))</f>
        <v>Mai</v>
      </c>
      <c r="L211" s="21" t="str">
        <f>IF(Tabela1[[#This Row],[Data Admissão]]="","",PROPER(TEXT(Tabela1[[#This Row],[Data Admissão]],"aaaa")))</f>
        <v>2021</v>
      </c>
      <c r="M211" s="12" t="s">
        <v>601</v>
      </c>
      <c r="N211" s="22" t="str">
        <f>IFERROR(IF(Tabela1[[#This Row],[Data de Saída]]="","ATIVO","-"),"-")</f>
        <v>-</v>
      </c>
    </row>
    <row r="212" spans="5:14" ht="24.95" customHeight="1" x14ac:dyDescent="0.2">
      <c r="E212" s="26" t="s">
        <v>418</v>
      </c>
      <c r="F212" s="20">
        <v>32757</v>
      </c>
      <c r="G212" s="20">
        <v>44345</v>
      </c>
      <c r="H212" s="12" t="s">
        <v>25</v>
      </c>
      <c r="I212" s="21" t="str">
        <f>IF(Tabela1[[#This Row],[Data de Saída]]="","",PROPER(TEXT(Tabela1[[#This Row],[Data de Saída]],"mmm")))</f>
        <v>Abr</v>
      </c>
      <c r="J212" s="21" t="str">
        <f>IF(Tabela1[[#This Row],[Data de Saída]]="","",PROPER(TEXT(Tabela1[[#This Row],[Data de Saída]],"aaaa")))</f>
        <v>2022</v>
      </c>
      <c r="K212" s="27" t="str">
        <f>IF(Tabela1[[#This Row],[Data Admissão]]="","",PROPER(TEXT(Tabela1[[#This Row],[Data Admissão]],"mmm")))</f>
        <v>Mai</v>
      </c>
      <c r="L212" s="21" t="str">
        <f>IF(Tabela1[[#This Row],[Data Admissão]]="","",PROPER(TEXT(Tabela1[[#This Row],[Data Admissão]],"aaaa")))</f>
        <v>2021</v>
      </c>
      <c r="M212" s="12" t="s">
        <v>602</v>
      </c>
      <c r="N212" s="22" t="str">
        <f>IFERROR(IF(Tabela1[[#This Row],[Data de Saída]]="","ATIVO","-"),"-")</f>
        <v>-</v>
      </c>
    </row>
    <row r="213" spans="5:14" ht="24.95" customHeight="1" x14ac:dyDescent="0.2">
      <c r="E213" s="26" t="s">
        <v>419</v>
      </c>
      <c r="F213" s="20">
        <v>33399</v>
      </c>
      <c r="G213" s="20">
        <v>44345</v>
      </c>
      <c r="H213" s="12" t="s">
        <v>98</v>
      </c>
      <c r="I213" s="21" t="str">
        <f>IF(Tabela1[[#This Row],[Data de Saída]]="","",PROPER(TEXT(Tabela1[[#This Row],[Data de Saída]],"mmm")))</f>
        <v>Mar</v>
      </c>
      <c r="J213" s="21" t="str">
        <f>IF(Tabela1[[#This Row],[Data de Saída]]="","",PROPER(TEXT(Tabela1[[#This Row],[Data de Saída]],"aaaa")))</f>
        <v>2023</v>
      </c>
      <c r="K213" s="27" t="str">
        <f>IF(Tabela1[[#This Row],[Data Admissão]]="","",PROPER(TEXT(Tabela1[[#This Row],[Data Admissão]],"mmm")))</f>
        <v>Mai</v>
      </c>
      <c r="L213" s="21" t="str">
        <f>IF(Tabela1[[#This Row],[Data Admissão]]="","",PROPER(TEXT(Tabela1[[#This Row],[Data Admissão]],"aaaa")))</f>
        <v>2021</v>
      </c>
      <c r="M213" s="12" t="s">
        <v>594</v>
      </c>
      <c r="N213" s="22" t="str">
        <f>IFERROR(IF(Tabela1[[#This Row],[Data de Saída]]="","ATIVO","-"),"-")</f>
        <v>-</v>
      </c>
    </row>
    <row r="214" spans="5:14" ht="24.95" customHeight="1" x14ac:dyDescent="0.2">
      <c r="E214" s="26" t="s">
        <v>420</v>
      </c>
      <c r="F214" s="20">
        <v>33785</v>
      </c>
      <c r="G214" s="20">
        <v>44345</v>
      </c>
      <c r="H214" s="12" t="s">
        <v>14</v>
      </c>
      <c r="I214" s="21" t="str">
        <f>IF(Tabela1[[#This Row],[Data de Saída]]="","",PROPER(TEXT(Tabela1[[#This Row],[Data de Saída]],"mmm")))</f>
        <v>Abr</v>
      </c>
      <c r="J214" s="21" t="str">
        <f>IF(Tabela1[[#This Row],[Data de Saída]]="","",PROPER(TEXT(Tabela1[[#This Row],[Data de Saída]],"aaaa")))</f>
        <v>2022</v>
      </c>
      <c r="K214" s="27" t="str">
        <f>IF(Tabela1[[#This Row],[Data Admissão]]="","",PROPER(TEXT(Tabela1[[#This Row],[Data Admissão]],"mmm")))</f>
        <v>Mai</v>
      </c>
      <c r="L214" s="21" t="str">
        <f>IF(Tabela1[[#This Row],[Data Admissão]]="","",PROPER(TEXT(Tabela1[[#This Row],[Data Admissão]],"aaaa")))</f>
        <v>2021</v>
      </c>
      <c r="M214" s="12" t="s">
        <v>594</v>
      </c>
      <c r="N214" s="22" t="str">
        <f>IFERROR(IF(Tabela1[[#This Row],[Data de Saída]]="","ATIVO","-"),"-")</f>
        <v>-</v>
      </c>
    </row>
    <row r="215" spans="5:14" ht="24.95" customHeight="1" x14ac:dyDescent="0.2">
      <c r="E215" s="26" t="s">
        <v>421</v>
      </c>
      <c r="F215" s="20">
        <v>36899</v>
      </c>
      <c r="G215" s="20">
        <v>44345</v>
      </c>
      <c r="H215" s="12"/>
      <c r="I215" s="21" t="str">
        <f>IF(Tabela1[[#This Row],[Data de Saída]]="","",PROPER(TEXT(Tabela1[[#This Row],[Data de Saída]],"mmm")))</f>
        <v/>
      </c>
      <c r="J215" s="21" t="str">
        <f>IF(Tabela1[[#This Row],[Data de Saída]]="","",PROPER(TEXT(Tabela1[[#This Row],[Data de Saída]],"aaaa")))</f>
        <v/>
      </c>
      <c r="K215" s="27" t="str">
        <f>IF(Tabela1[[#This Row],[Data Admissão]]="","",PROPER(TEXT(Tabela1[[#This Row],[Data Admissão]],"mmm")))</f>
        <v>Mai</v>
      </c>
      <c r="L215" s="21" t="str">
        <f>IF(Tabela1[[#This Row],[Data Admissão]]="","",PROPER(TEXT(Tabela1[[#This Row],[Data Admissão]],"aaaa")))</f>
        <v>2021</v>
      </c>
      <c r="M215" s="12" t="s">
        <v>595</v>
      </c>
      <c r="N215" s="22" t="str">
        <f>IFERROR(IF(Tabela1[[#This Row],[Data de Saída]]="","ATIVO","-"),"-")</f>
        <v>ATIVO</v>
      </c>
    </row>
    <row r="216" spans="5:14" ht="24.95" customHeight="1" x14ac:dyDescent="0.2">
      <c r="E216" s="26" t="s">
        <v>422</v>
      </c>
      <c r="F216" s="20">
        <v>35904</v>
      </c>
      <c r="G216" s="20">
        <v>44345</v>
      </c>
      <c r="H216" s="12" t="s">
        <v>50</v>
      </c>
      <c r="I216" s="21" t="str">
        <f>IF(Tabela1[[#This Row],[Data de Saída]]="","",PROPER(TEXT(Tabela1[[#This Row],[Data de Saída]],"mmm")))</f>
        <v>Set</v>
      </c>
      <c r="J216" s="21" t="str">
        <f>IF(Tabela1[[#This Row],[Data de Saída]]="","",PROPER(TEXT(Tabela1[[#This Row],[Data de Saída]],"aaaa")))</f>
        <v>2022</v>
      </c>
      <c r="K216" s="27" t="str">
        <f>IF(Tabela1[[#This Row],[Data Admissão]]="","",PROPER(TEXT(Tabela1[[#This Row],[Data Admissão]],"mmm")))</f>
        <v>Mai</v>
      </c>
      <c r="L216" s="21" t="str">
        <f>IF(Tabela1[[#This Row],[Data Admissão]]="","",PROPER(TEXT(Tabela1[[#This Row],[Data Admissão]],"aaaa")))</f>
        <v>2021</v>
      </c>
      <c r="M216" s="12" t="s">
        <v>596</v>
      </c>
      <c r="N216" s="22" t="str">
        <f>IFERROR(IF(Tabela1[[#This Row],[Data de Saída]]="","ATIVO","-"),"-")</f>
        <v>-</v>
      </c>
    </row>
    <row r="217" spans="5:14" ht="24.95" customHeight="1" x14ac:dyDescent="0.2">
      <c r="E217" s="26" t="s">
        <v>423</v>
      </c>
      <c r="F217" s="20">
        <v>24460</v>
      </c>
      <c r="G217" s="20">
        <v>44348</v>
      </c>
      <c r="H217" s="12"/>
      <c r="I217" s="21" t="str">
        <f>IF(Tabela1[[#This Row],[Data de Saída]]="","",PROPER(TEXT(Tabela1[[#This Row],[Data de Saída]],"mmm")))</f>
        <v/>
      </c>
      <c r="J217" s="21" t="str">
        <f>IF(Tabela1[[#This Row],[Data de Saída]]="","",PROPER(TEXT(Tabela1[[#This Row],[Data de Saída]],"aaaa")))</f>
        <v/>
      </c>
      <c r="K217" s="27" t="str">
        <f>IF(Tabela1[[#This Row],[Data Admissão]]="","",PROPER(TEXT(Tabela1[[#This Row],[Data Admissão]],"mmm")))</f>
        <v>Jun</v>
      </c>
      <c r="L217" s="21" t="str">
        <f>IF(Tabela1[[#This Row],[Data Admissão]]="","",PROPER(TEXT(Tabela1[[#This Row],[Data Admissão]],"aaaa")))</f>
        <v>2021</v>
      </c>
      <c r="M217" s="12" t="s">
        <v>597</v>
      </c>
      <c r="N217" s="22" t="str">
        <f>IFERROR(IF(Tabela1[[#This Row],[Data de Saída]]="","ATIVO","-"),"-")</f>
        <v>ATIVO</v>
      </c>
    </row>
    <row r="218" spans="5:14" ht="24.95" customHeight="1" x14ac:dyDescent="0.2">
      <c r="E218" s="26" t="s">
        <v>424</v>
      </c>
      <c r="F218" s="20">
        <v>29286</v>
      </c>
      <c r="G218" s="20">
        <v>44378</v>
      </c>
      <c r="H218" s="12" t="s">
        <v>14</v>
      </c>
      <c r="I218" s="21" t="str">
        <f>IF(Tabela1[[#This Row],[Data de Saída]]="","",PROPER(TEXT(Tabela1[[#This Row],[Data de Saída]],"mmm")))</f>
        <v>Abr</v>
      </c>
      <c r="J218" s="21" t="str">
        <f>IF(Tabela1[[#This Row],[Data de Saída]]="","",PROPER(TEXT(Tabela1[[#This Row],[Data de Saída]],"aaaa")))</f>
        <v>2022</v>
      </c>
      <c r="K218" s="27" t="str">
        <f>IF(Tabela1[[#This Row],[Data Admissão]]="","",PROPER(TEXT(Tabela1[[#This Row],[Data Admissão]],"mmm")))</f>
        <v>Jul</v>
      </c>
      <c r="L218" s="21" t="str">
        <f>IF(Tabela1[[#This Row],[Data Admissão]]="","",PROPER(TEXT(Tabela1[[#This Row],[Data Admissão]],"aaaa")))</f>
        <v>2021</v>
      </c>
      <c r="M218" s="12" t="s">
        <v>598</v>
      </c>
      <c r="N218" s="22" t="str">
        <f>IFERROR(IF(Tabela1[[#This Row],[Data de Saída]]="","ATIVO","-"),"-")</f>
        <v>-</v>
      </c>
    </row>
    <row r="219" spans="5:14" ht="24.95" customHeight="1" x14ac:dyDescent="0.2">
      <c r="E219" s="26" t="s">
        <v>425</v>
      </c>
      <c r="F219" s="20">
        <v>35072</v>
      </c>
      <c r="G219" s="20">
        <v>44378</v>
      </c>
      <c r="H219" s="12" t="s">
        <v>67</v>
      </c>
      <c r="I219" s="21" t="str">
        <f>IF(Tabela1[[#This Row],[Data de Saída]]="","",PROPER(TEXT(Tabela1[[#This Row],[Data de Saída]],"mmm")))</f>
        <v>Abr</v>
      </c>
      <c r="J219" s="21" t="str">
        <f>IF(Tabela1[[#This Row],[Data de Saída]]="","",PROPER(TEXT(Tabela1[[#This Row],[Data de Saída]],"aaaa")))</f>
        <v>2022</v>
      </c>
      <c r="K219" s="27" t="str">
        <f>IF(Tabela1[[#This Row],[Data Admissão]]="","",PROPER(TEXT(Tabela1[[#This Row],[Data Admissão]],"mmm")))</f>
        <v>Jul</v>
      </c>
      <c r="L219" s="21" t="str">
        <f>IF(Tabela1[[#This Row],[Data Admissão]]="","",PROPER(TEXT(Tabela1[[#This Row],[Data Admissão]],"aaaa")))</f>
        <v>2021</v>
      </c>
      <c r="M219" s="12" t="s">
        <v>599</v>
      </c>
      <c r="N219" s="22" t="str">
        <f>IFERROR(IF(Tabela1[[#This Row],[Data de Saída]]="","ATIVO","-"),"-")</f>
        <v>-</v>
      </c>
    </row>
    <row r="220" spans="5:14" ht="24.95" customHeight="1" x14ac:dyDescent="0.2">
      <c r="E220" s="26" t="s">
        <v>426</v>
      </c>
      <c r="F220" s="20">
        <v>34925</v>
      </c>
      <c r="G220" s="20">
        <v>44378</v>
      </c>
      <c r="H220" s="12" t="s">
        <v>87</v>
      </c>
      <c r="I220" s="21" t="str">
        <f>IF(Tabela1[[#This Row],[Data de Saída]]="","",PROPER(TEXT(Tabela1[[#This Row],[Data de Saída]],"mmm")))</f>
        <v>Set</v>
      </c>
      <c r="J220" s="21" t="str">
        <f>IF(Tabela1[[#This Row],[Data de Saída]]="","",PROPER(TEXT(Tabela1[[#This Row],[Data de Saída]],"aaaa")))</f>
        <v>2021</v>
      </c>
      <c r="K220" s="27" t="str">
        <f>IF(Tabela1[[#This Row],[Data Admissão]]="","",PROPER(TEXT(Tabela1[[#This Row],[Data Admissão]],"mmm")))</f>
        <v>Jul</v>
      </c>
      <c r="L220" s="21" t="str">
        <f>IF(Tabela1[[#This Row],[Data Admissão]]="","",PROPER(TEXT(Tabela1[[#This Row],[Data Admissão]],"aaaa")))</f>
        <v>2021</v>
      </c>
      <c r="M220" s="12" t="s">
        <v>599</v>
      </c>
      <c r="N220" s="22" t="str">
        <f>IFERROR(IF(Tabela1[[#This Row],[Data de Saída]]="","ATIVO","-"),"-")</f>
        <v>-</v>
      </c>
    </row>
    <row r="221" spans="5:14" ht="24.95" customHeight="1" x14ac:dyDescent="0.2">
      <c r="E221" s="26" t="s">
        <v>427</v>
      </c>
      <c r="F221" s="20">
        <v>35847</v>
      </c>
      <c r="G221" s="20">
        <v>44378</v>
      </c>
      <c r="H221" s="12" t="s">
        <v>93</v>
      </c>
      <c r="I221" s="21" t="str">
        <f>IF(Tabela1[[#This Row],[Data de Saída]]="","",PROPER(TEXT(Tabela1[[#This Row],[Data de Saída]],"mmm")))</f>
        <v>Jan</v>
      </c>
      <c r="J221" s="21" t="str">
        <f>IF(Tabela1[[#This Row],[Data de Saída]]="","",PROPER(TEXT(Tabela1[[#This Row],[Data de Saída]],"aaaa")))</f>
        <v>2022</v>
      </c>
      <c r="K221" s="27" t="str">
        <f>IF(Tabela1[[#This Row],[Data Admissão]]="","",PROPER(TEXT(Tabela1[[#This Row],[Data Admissão]],"mmm")))</f>
        <v>Jul</v>
      </c>
      <c r="L221" s="21" t="str">
        <f>IF(Tabela1[[#This Row],[Data Admissão]]="","",PROPER(TEXT(Tabela1[[#This Row],[Data Admissão]],"aaaa")))</f>
        <v>2021</v>
      </c>
      <c r="M221" s="12" t="s">
        <v>599</v>
      </c>
      <c r="N221" s="22" t="str">
        <f>IFERROR(IF(Tabela1[[#This Row],[Data de Saída]]="","ATIVO","-"),"-")</f>
        <v>-</v>
      </c>
    </row>
    <row r="222" spans="5:14" ht="24.95" customHeight="1" x14ac:dyDescent="0.2">
      <c r="E222" s="26" t="s">
        <v>428</v>
      </c>
      <c r="F222" s="20">
        <v>28011</v>
      </c>
      <c r="G222" s="20">
        <v>44378</v>
      </c>
      <c r="H222" s="12"/>
      <c r="I222" s="21" t="str">
        <f>IF(Tabela1[[#This Row],[Data de Saída]]="","",PROPER(TEXT(Tabela1[[#This Row],[Data de Saída]],"mmm")))</f>
        <v/>
      </c>
      <c r="J222" s="21" t="str">
        <f>IF(Tabela1[[#This Row],[Data de Saída]]="","",PROPER(TEXT(Tabela1[[#This Row],[Data de Saída]],"aaaa")))</f>
        <v/>
      </c>
      <c r="K222" s="27" t="str">
        <f>IF(Tabela1[[#This Row],[Data Admissão]]="","",PROPER(TEXT(Tabela1[[#This Row],[Data Admissão]],"mmm")))</f>
        <v>Jul</v>
      </c>
      <c r="L222" s="21" t="str">
        <f>IF(Tabela1[[#This Row],[Data Admissão]]="","",PROPER(TEXT(Tabela1[[#This Row],[Data Admissão]],"aaaa")))</f>
        <v>2021</v>
      </c>
      <c r="M222" s="12" t="s">
        <v>599</v>
      </c>
      <c r="N222" s="22" t="str">
        <f>IFERROR(IF(Tabela1[[#This Row],[Data de Saída]]="","ATIVO","-"),"-")</f>
        <v>ATIVO</v>
      </c>
    </row>
    <row r="223" spans="5:14" ht="24.95" customHeight="1" x14ac:dyDescent="0.2">
      <c r="E223" s="26" t="s">
        <v>429</v>
      </c>
      <c r="F223" s="20">
        <v>36655</v>
      </c>
      <c r="G223" s="20">
        <v>44378</v>
      </c>
      <c r="H223" s="12" t="s">
        <v>149</v>
      </c>
      <c r="I223" s="21" t="str">
        <f>IF(Tabela1[[#This Row],[Data de Saída]]="","",PROPER(TEXT(Tabela1[[#This Row],[Data de Saída]],"mmm")))</f>
        <v>Set</v>
      </c>
      <c r="J223" s="21" t="str">
        <f>IF(Tabela1[[#This Row],[Data de Saída]]="","",PROPER(TEXT(Tabela1[[#This Row],[Data de Saída]],"aaaa")))</f>
        <v>2022</v>
      </c>
      <c r="K223" s="27" t="str">
        <f>IF(Tabela1[[#This Row],[Data Admissão]]="","",PROPER(TEXT(Tabela1[[#This Row],[Data Admissão]],"mmm")))</f>
        <v>Jul</v>
      </c>
      <c r="L223" s="21" t="str">
        <f>IF(Tabela1[[#This Row],[Data Admissão]]="","",PROPER(TEXT(Tabela1[[#This Row],[Data Admissão]],"aaaa")))</f>
        <v>2021</v>
      </c>
      <c r="M223" s="12" t="s">
        <v>600</v>
      </c>
      <c r="N223" s="22" t="str">
        <f>IFERROR(IF(Tabela1[[#This Row],[Data de Saída]]="","ATIVO","-"),"-")</f>
        <v>-</v>
      </c>
    </row>
    <row r="224" spans="5:14" ht="24.95" customHeight="1" x14ac:dyDescent="0.2">
      <c r="E224" s="26" t="s">
        <v>430</v>
      </c>
      <c r="F224" s="20">
        <v>30472</v>
      </c>
      <c r="G224" s="20">
        <v>44385</v>
      </c>
      <c r="H224" s="12" t="s">
        <v>25</v>
      </c>
      <c r="I224" s="21" t="str">
        <f>IF(Tabela1[[#This Row],[Data de Saída]]="","",PROPER(TEXT(Tabela1[[#This Row],[Data de Saída]],"mmm")))</f>
        <v>Abr</v>
      </c>
      <c r="J224" s="21" t="str">
        <f>IF(Tabela1[[#This Row],[Data de Saída]]="","",PROPER(TEXT(Tabela1[[#This Row],[Data de Saída]],"aaaa")))</f>
        <v>2022</v>
      </c>
      <c r="K224" s="27" t="str">
        <f>IF(Tabela1[[#This Row],[Data Admissão]]="","",PROPER(TEXT(Tabela1[[#This Row],[Data Admissão]],"mmm")))</f>
        <v>Jul</v>
      </c>
      <c r="L224" s="21" t="str">
        <f>IF(Tabela1[[#This Row],[Data Admissão]]="","",PROPER(TEXT(Tabela1[[#This Row],[Data Admissão]],"aaaa")))</f>
        <v>2021</v>
      </c>
      <c r="M224" s="12" t="s">
        <v>601</v>
      </c>
      <c r="N224" s="22" t="str">
        <f>IFERROR(IF(Tabela1[[#This Row],[Data de Saída]]="","ATIVO","-"),"-")</f>
        <v>-</v>
      </c>
    </row>
    <row r="225" spans="5:14" ht="24.95" customHeight="1" x14ac:dyDescent="0.2">
      <c r="E225" s="26" t="s">
        <v>431</v>
      </c>
      <c r="F225" s="20">
        <v>34270</v>
      </c>
      <c r="G225" s="20">
        <v>44385</v>
      </c>
      <c r="H225" s="12" t="s">
        <v>14</v>
      </c>
      <c r="I225" s="21" t="str">
        <f>IF(Tabela1[[#This Row],[Data de Saída]]="","",PROPER(TEXT(Tabela1[[#This Row],[Data de Saída]],"mmm")))</f>
        <v>Abr</v>
      </c>
      <c r="J225" s="21" t="str">
        <f>IF(Tabela1[[#This Row],[Data de Saída]]="","",PROPER(TEXT(Tabela1[[#This Row],[Data de Saída]],"aaaa")))</f>
        <v>2022</v>
      </c>
      <c r="K225" s="27" t="str">
        <f>IF(Tabela1[[#This Row],[Data Admissão]]="","",PROPER(TEXT(Tabela1[[#This Row],[Data Admissão]],"mmm")))</f>
        <v>Jul</v>
      </c>
      <c r="L225" s="21" t="str">
        <f>IF(Tabela1[[#This Row],[Data Admissão]]="","",PROPER(TEXT(Tabela1[[#This Row],[Data Admissão]],"aaaa")))</f>
        <v>2021</v>
      </c>
      <c r="M225" s="12" t="s">
        <v>602</v>
      </c>
      <c r="N225" s="22" t="str">
        <f>IFERROR(IF(Tabela1[[#This Row],[Data de Saída]]="","ATIVO","-"),"-")</f>
        <v>-</v>
      </c>
    </row>
    <row r="226" spans="5:14" ht="24.95" customHeight="1" x14ac:dyDescent="0.2">
      <c r="E226" s="26" t="s">
        <v>432</v>
      </c>
      <c r="F226" s="20">
        <v>32957</v>
      </c>
      <c r="G226" s="20">
        <v>44385</v>
      </c>
      <c r="H226" s="12" t="s">
        <v>64</v>
      </c>
      <c r="I226" s="21" t="str">
        <f>IF(Tabela1[[#This Row],[Data de Saída]]="","",PROPER(TEXT(Tabela1[[#This Row],[Data de Saída]],"mmm")))</f>
        <v>Out</v>
      </c>
      <c r="J226" s="21" t="str">
        <f>IF(Tabela1[[#This Row],[Data de Saída]]="","",PROPER(TEXT(Tabela1[[#This Row],[Data de Saída]],"aaaa")))</f>
        <v>2021</v>
      </c>
      <c r="K226" s="27" t="str">
        <f>IF(Tabela1[[#This Row],[Data Admissão]]="","",PROPER(TEXT(Tabela1[[#This Row],[Data Admissão]],"mmm")))</f>
        <v>Jul</v>
      </c>
      <c r="L226" s="21" t="str">
        <f>IF(Tabela1[[#This Row],[Data Admissão]]="","",PROPER(TEXT(Tabela1[[#This Row],[Data Admissão]],"aaaa")))</f>
        <v>2021</v>
      </c>
      <c r="M226" s="12" t="s">
        <v>594</v>
      </c>
      <c r="N226" s="22" t="str">
        <f>IFERROR(IF(Tabela1[[#This Row],[Data de Saída]]="","ATIVO","-"),"-")</f>
        <v>-</v>
      </c>
    </row>
    <row r="227" spans="5:14" ht="24.95" customHeight="1" x14ac:dyDescent="0.2">
      <c r="E227" s="26" t="s">
        <v>433</v>
      </c>
      <c r="F227" s="20">
        <v>36658</v>
      </c>
      <c r="G227" s="20">
        <v>44385</v>
      </c>
      <c r="H227" s="12" t="s">
        <v>65</v>
      </c>
      <c r="I227" s="21" t="str">
        <f>IF(Tabela1[[#This Row],[Data de Saída]]="","",PROPER(TEXT(Tabela1[[#This Row],[Data de Saída]],"mmm")))</f>
        <v>Set</v>
      </c>
      <c r="J227" s="21" t="str">
        <f>IF(Tabela1[[#This Row],[Data de Saída]]="","",PROPER(TEXT(Tabela1[[#This Row],[Data de Saída]],"aaaa")))</f>
        <v>2023</v>
      </c>
      <c r="K227" s="27" t="str">
        <f>IF(Tabela1[[#This Row],[Data Admissão]]="","",PROPER(TEXT(Tabela1[[#This Row],[Data Admissão]],"mmm")))</f>
        <v>Jul</v>
      </c>
      <c r="L227" s="21" t="str">
        <f>IF(Tabela1[[#This Row],[Data Admissão]]="","",PROPER(TEXT(Tabela1[[#This Row],[Data Admissão]],"aaaa")))</f>
        <v>2021</v>
      </c>
      <c r="M227" s="12" t="s">
        <v>594</v>
      </c>
      <c r="N227" s="22" t="str">
        <f>IFERROR(IF(Tabela1[[#This Row],[Data de Saída]]="","ATIVO","-"),"-")</f>
        <v>-</v>
      </c>
    </row>
    <row r="228" spans="5:14" ht="24.95" customHeight="1" x14ac:dyDescent="0.2">
      <c r="E228" s="26" t="s">
        <v>434</v>
      </c>
      <c r="F228" s="20">
        <v>33518</v>
      </c>
      <c r="G228" s="20">
        <v>44385</v>
      </c>
      <c r="H228" s="12" t="s">
        <v>101</v>
      </c>
      <c r="I228" s="21" t="str">
        <f>IF(Tabela1[[#This Row],[Data de Saída]]="","",PROPER(TEXT(Tabela1[[#This Row],[Data de Saída]],"mmm")))</f>
        <v>Out</v>
      </c>
      <c r="J228" s="21" t="str">
        <f>IF(Tabela1[[#This Row],[Data de Saída]]="","",PROPER(TEXT(Tabela1[[#This Row],[Data de Saída]],"aaaa")))</f>
        <v>2021</v>
      </c>
      <c r="K228" s="27" t="str">
        <f>IF(Tabela1[[#This Row],[Data Admissão]]="","",PROPER(TEXT(Tabela1[[#This Row],[Data Admissão]],"mmm")))</f>
        <v>Jul</v>
      </c>
      <c r="L228" s="21" t="str">
        <f>IF(Tabela1[[#This Row],[Data Admissão]]="","",PROPER(TEXT(Tabela1[[#This Row],[Data Admissão]],"aaaa")))</f>
        <v>2021</v>
      </c>
      <c r="M228" s="12" t="s">
        <v>595</v>
      </c>
      <c r="N228" s="22" t="str">
        <f>IFERROR(IF(Tabela1[[#This Row],[Data de Saída]]="","ATIVO","-"),"-")</f>
        <v>-</v>
      </c>
    </row>
    <row r="229" spans="5:14" ht="24.95" customHeight="1" x14ac:dyDescent="0.2">
      <c r="E229" s="26" t="s">
        <v>435</v>
      </c>
      <c r="F229" s="20">
        <v>37727</v>
      </c>
      <c r="G229" s="20">
        <v>44385</v>
      </c>
      <c r="H229" s="12" t="s">
        <v>108</v>
      </c>
      <c r="I229" s="21" t="str">
        <f>IF(Tabela1[[#This Row],[Data de Saída]]="","",PROPER(TEXT(Tabela1[[#This Row],[Data de Saída]],"mmm")))</f>
        <v>Mai</v>
      </c>
      <c r="J229" s="21" t="str">
        <f>IF(Tabela1[[#This Row],[Data de Saída]]="","",PROPER(TEXT(Tabela1[[#This Row],[Data de Saída]],"aaaa")))</f>
        <v>2022</v>
      </c>
      <c r="K229" s="27" t="str">
        <f>IF(Tabela1[[#This Row],[Data Admissão]]="","",PROPER(TEXT(Tabela1[[#This Row],[Data Admissão]],"mmm")))</f>
        <v>Jul</v>
      </c>
      <c r="L229" s="21" t="str">
        <f>IF(Tabela1[[#This Row],[Data Admissão]]="","",PROPER(TEXT(Tabela1[[#This Row],[Data Admissão]],"aaaa")))</f>
        <v>2021</v>
      </c>
      <c r="M229" s="12" t="s">
        <v>596</v>
      </c>
      <c r="N229" s="22" t="str">
        <f>IFERROR(IF(Tabela1[[#This Row],[Data de Saída]]="","ATIVO","-"),"-")</f>
        <v>-</v>
      </c>
    </row>
    <row r="230" spans="5:14" ht="24.95" customHeight="1" x14ac:dyDescent="0.2">
      <c r="E230" s="26" t="s">
        <v>436</v>
      </c>
      <c r="F230" s="20">
        <v>36700</v>
      </c>
      <c r="G230" s="20">
        <v>44385</v>
      </c>
      <c r="H230" s="12" t="s">
        <v>110</v>
      </c>
      <c r="I230" s="21" t="str">
        <f>IF(Tabela1[[#This Row],[Data de Saída]]="","",PROPER(TEXT(Tabela1[[#This Row],[Data de Saída]],"mmm")))</f>
        <v>Mai</v>
      </c>
      <c r="J230" s="21" t="str">
        <f>IF(Tabela1[[#This Row],[Data de Saída]]="","",PROPER(TEXT(Tabela1[[#This Row],[Data de Saída]],"aaaa")))</f>
        <v>2022</v>
      </c>
      <c r="K230" s="27" t="str">
        <f>IF(Tabela1[[#This Row],[Data Admissão]]="","",PROPER(TEXT(Tabela1[[#This Row],[Data Admissão]],"mmm")))</f>
        <v>Jul</v>
      </c>
      <c r="L230" s="21" t="str">
        <f>IF(Tabela1[[#This Row],[Data Admissão]]="","",PROPER(TEXT(Tabela1[[#This Row],[Data Admissão]],"aaaa")))</f>
        <v>2021</v>
      </c>
      <c r="M230" s="12" t="s">
        <v>597</v>
      </c>
      <c r="N230" s="22" t="str">
        <f>IFERROR(IF(Tabela1[[#This Row],[Data de Saída]]="","ATIVO","-"),"-")</f>
        <v>-</v>
      </c>
    </row>
    <row r="231" spans="5:14" ht="24.95" customHeight="1" x14ac:dyDescent="0.2">
      <c r="E231" s="26" t="s">
        <v>437</v>
      </c>
      <c r="F231" s="20">
        <v>23960</v>
      </c>
      <c r="G231" s="20">
        <v>44385</v>
      </c>
      <c r="H231" s="12" t="s">
        <v>14</v>
      </c>
      <c r="I231" s="21" t="str">
        <f>IF(Tabela1[[#This Row],[Data de Saída]]="","",PROPER(TEXT(Tabela1[[#This Row],[Data de Saída]],"mmm")))</f>
        <v>Abr</v>
      </c>
      <c r="J231" s="21" t="str">
        <f>IF(Tabela1[[#This Row],[Data de Saída]]="","",PROPER(TEXT(Tabela1[[#This Row],[Data de Saída]],"aaaa")))</f>
        <v>2022</v>
      </c>
      <c r="K231" s="27" t="str">
        <f>IF(Tabela1[[#This Row],[Data Admissão]]="","",PROPER(TEXT(Tabela1[[#This Row],[Data Admissão]],"mmm")))</f>
        <v>Jul</v>
      </c>
      <c r="L231" s="21" t="str">
        <f>IF(Tabela1[[#This Row],[Data Admissão]]="","",PROPER(TEXT(Tabela1[[#This Row],[Data Admissão]],"aaaa")))</f>
        <v>2021</v>
      </c>
      <c r="M231" s="12" t="s">
        <v>598</v>
      </c>
      <c r="N231" s="22" t="str">
        <f>IFERROR(IF(Tabela1[[#This Row],[Data de Saída]]="","ATIVO","-"),"-")</f>
        <v>-</v>
      </c>
    </row>
    <row r="232" spans="5:14" ht="24.95" customHeight="1" x14ac:dyDescent="0.2">
      <c r="E232" s="26" t="s">
        <v>438</v>
      </c>
      <c r="F232" s="20">
        <v>32765</v>
      </c>
      <c r="G232" s="20">
        <v>44385</v>
      </c>
      <c r="H232" s="12" t="s">
        <v>14</v>
      </c>
      <c r="I232" s="21" t="str">
        <f>IF(Tabela1[[#This Row],[Data de Saída]]="","",PROPER(TEXT(Tabela1[[#This Row],[Data de Saída]],"mmm")))</f>
        <v>Abr</v>
      </c>
      <c r="J232" s="21" t="str">
        <f>IF(Tabela1[[#This Row],[Data de Saída]]="","",PROPER(TEXT(Tabela1[[#This Row],[Data de Saída]],"aaaa")))</f>
        <v>2022</v>
      </c>
      <c r="K232" s="27" t="str">
        <f>IF(Tabela1[[#This Row],[Data Admissão]]="","",PROPER(TEXT(Tabela1[[#This Row],[Data Admissão]],"mmm")))</f>
        <v>Jul</v>
      </c>
      <c r="L232" s="21" t="str">
        <f>IF(Tabela1[[#This Row],[Data Admissão]]="","",PROPER(TEXT(Tabela1[[#This Row],[Data Admissão]],"aaaa")))</f>
        <v>2021</v>
      </c>
      <c r="M232" s="12" t="s">
        <v>599</v>
      </c>
      <c r="N232" s="22" t="str">
        <f>IFERROR(IF(Tabela1[[#This Row],[Data de Saída]]="","ATIVO","-"),"-")</f>
        <v>-</v>
      </c>
    </row>
    <row r="233" spans="5:14" ht="24.95" customHeight="1" x14ac:dyDescent="0.2">
      <c r="E233" s="26" t="s">
        <v>439</v>
      </c>
      <c r="F233" s="20">
        <v>37741</v>
      </c>
      <c r="G233" s="20">
        <v>44385</v>
      </c>
      <c r="H233" s="12" t="s">
        <v>60</v>
      </c>
      <c r="I233" s="21" t="str">
        <f>IF(Tabela1[[#This Row],[Data de Saída]]="","",PROPER(TEXT(Tabela1[[#This Row],[Data de Saída]],"mmm")))</f>
        <v>Mai</v>
      </c>
      <c r="J233" s="21" t="str">
        <f>IF(Tabela1[[#This Row],[Data de Saída]]="","",PROPER(TEXT(Tabela1[[#This Row],[Data de Saída]],"aaaa")))</f>
        <v>2022</v>
      </c>
      <c r="K233" s="27" t="str">
        <f>IF(Tabela1[[#This Row],[Data Admissão]]="","",PROPER(TEXT(Tabela1[[#This Row],[Data Admissão]],"mmm")))</f>
        <v>Jul</v>
      </c>
      <c r="L233" s="21" t="str">
        <f>IF(Tabela1[[#This Row],[Data Admissão]]="","",PROPER(TEXT(Tabela1[[#This Row],[Data Admissão]],"aaaa")))</f>
        <v>2021</v>
      </c>
      <c r="M233" s="12" t="s">
        <v>599</v>
      </c>
      <c r="N233" s="22" t="str">
        <f>IFERROR(IF(Tabela1[[#This Row],[Data de Saída]]="","ATIVO","-"),"-")</f>
        <v>-</v>
      </c>
    </row>
    <row r="234" spans="5:14" ht="24.95" customHeight="1" x14ac:dyDescent="0.2">
      <c r="E234" s="26" t="s">
        <v>440</v>
      </c>
      <c r="F234" s="20">
        <v>28850</v>
      </c>
      <c r="G234" s="20">
        <v>44385</v>
      </c>
      <c r="H234" s="12" t="s">
        <v>101</v>
      </c>
      <c r="I234" s="21" t="str">
        <f>IF(Tabela1[[#This Row],[Data de Saída]]="","",PROPER(TEXT(Tabela1[[#This Row],[Data de Saída]],"mmm")))</f>
        <v>Out</v>
      </c>
      <c r="J234" s="21" t="str">
        <f>IF(Tabela1[[#This Row],[Data de Saída]]="","",PROPER(TEXT(Tabela1[[#This Row],[Data de Saída]],"aaaa")))</f>
        <v>2021</v>
      </c>
      <c r="K234" s="27" t="str">
        <f>IF(Tabela1[[#This Row],[Data Admissão]]="","",PROPER(TEXT(Tabela1[[#This Row],[Data Admissão]],"mmm")))</f>
        <v>Jul</v>
      </c>
      <c r="L234" s="21" t="str">
        <f>IF(Tabela1[[#This Row],[Data Admissão]]="","",PROPER(TEXT(Tabela1[[#This Row],[Data Admissão]],"aaaa")))</f>
        <v>2021</v>
      </c>
      <c r="M234" s="12" t="s">
        <v>599</v>
      </c>
      <c r="N234" s="22" t="str">
        <f>IFERROR(IF(Tabela1[[#This Row],[Data de Saída]]="","ATIVO","-"),"-")</f>
        <v>-</v>
      </c>
    </row>
    <row r="235" spans="5:14" ht="24.95" customHeight="1" x14ac:dyDescent="0.2">
      <c r="E235" s="26" t="s">
        <v>441</v>
      </c>
      <c r="F235" s="20">
        <v>34871</v>
      </c>
      <c r="G235" s="20">
        <v>44385</v>
      </c>
      <c r="H235" s="12" t="s">
        <v>101</v>
      </c>
      <c r="I235" s="21" t="str">
        <f>IF(Tabela1[[#This Row],[Data de Saída]]="","",PROPER(TEXT(Tabela1[[#This Row],[Data de Saída]],"mmm")))</f>
        <v>Out</v>
      </c>
      <c r="J235" s="21" t="str">
        <f>IF(Tabela1[[#This Row],[Data de Saída]]="","",PROPER(TEXT(Tabela1[[#This Row],[Data de Saída]],"aaaa")))</f>
        <v>2021</v>
      </c>
      <c r="K235" s="27" t="str">
        <f>IF(Tabela1[[#This Row],[Data Admissão]]="","",PROPER(TEXT(Tabela1[[#This Row],[Data Admissão]],"mmm")))</f>
        <v>Jul</v>
      </c>
      <c r="L235" s="21" t="str">
        <f>IF(Tabela1[[#This Row],[Data Admissão]]="","",PROPER(TEXT(Tabela1[[#This Row],[Data Admissão]],"aaaa")))</f>
        <v>2021</v>
      </c>
      <c r="M235" s="12" t="s">
        <v>599</v>
      </c>
      <c r="N235" s="22" t="str">
        <f>IFERROR(IF(Tabela1[[#This Row],[Data de Saída]]="","ATIVO","-"),"-")</f>
        <v>-</v>
      </c>
    </row>
    <row r="236" spans="5:14" ht="24.95" customHeight="1" x14ac:dyDescent="0.2">
      <c r="E236" s="26" t="s">
        <v>442</v>
      </c>
      <c r="F236" s="20">
        <v>29451</v>
      </c>
      <c r="G236" s="20">
        <v>44393</v>
      </c>
      <c r="H236" s="12" t="s">
        <v>126</v>
      </c>
      <c r="I236" s="21" t="str">
        <f>IF(Tabela1[[#This Row],[Data de Saída]]="","",PROPER(TEXT(Tabela1[[#This Row],[Data de Saída]],"mmm")))</f>
        <v>Mar</v>
      </c>
      <c r="J236" s="21" t="str">
        <f>IF(Tabela1[[#This Row],[Data de Saída]]="","",PROPER(TEXT(Tabela1[[#This Row],[Data de Saída]],"aaaa")))</f>
        <v>2022</v>
      </c>
      <c r="K236" s="27" t="str">
        <f>IF(Tabela1[[#This Row],[Data Admissão]]="","",PROPER(TEXT(Tabela1[[#This Row],[Data Admissão]],"mmm")))</f>
        <v>Jul</v>
      </c>
      <c r="L236" s="21" t="str">
        <f>IF(Tabela1[[#This Row],[Data Admissão]]="","",PROPER(TEXT(Tabela1[[#This Row],[Data Admissão]],"aaaa")))</f>
        <v>2021</v>
      </c>
      <c r="M236" s="12" t="s">
        <v>600</v>
      </c>
      <c r="N236" s="22" t="str">
        <f>IFERROR(IF(Tabela1[[#This Row],[Data de Saída]]="","ATIVO","-"),"-")</f>
        <v>-</v>
      </c>
    </row>
    <row r="237" spans="5:14" ht="24.95" customHeight="1" x14ac:dyDescent="0.2">
      <c r="E237" s="26" t="s">
        <v>443</v>
      </c>
      <c r="F237" s="20">
        <v>34954</v>
      </c>
      <c r="G237" s="20">
        <v>44396</v>
      </c>
      <c r="H237" s="12" t="s">
        <v>14</v>
      </c>
      <c r="I237" s="21" t="str">
        <f>IF(Tabela1[[#This Row],[Data de Saída]]="","",PROPER(TEXT(Tabela1[[#This Row],[Data de Saída]],"mmm")))</f>
        <v>Abr</v>
      </c>
      <c r="J237" s="21" t="str">
        <f>IF(Tabela1[[#This Row],[Data de Saída]]="","",PROPER(TEXT(Tabela1[[#This Row],[Data de Saída]],"aaaa")))</f>
        <v>2022</v>
      </c>
      <c r="K237" s="27" t="str">
        <f>IF(Tabela1[[#This Row],[Data Admissão]]="","",PROPER(TEXT(Tabela1[[#This Row],[Data Admissão]],"mmm")))</f>
        <v>Jul</v>
      </c>
      <c r="L237" s="21" t="str">
        <f>IF(Tabela1[[#This Row],[Data Admissão]]="","",PROPER(TEXT(Tabela1[[#This Row],[Data Admissão]],"aaaa")))</f>
        <v>2021</v>
      </c>
      <c r="M237" s="12" t="s">
        <v>601</v>
      </c>
      <c r="N237" s="22" t="str">
        <f>IFERROR(IF(Tabela1[[#This Row],[Data de Saída]]="","ATIVO","-"),"-")</f>
        <v>-</v>
      </c>
    </row>
    <row r="238" spans="5:14" ht="24.95" customHeight="1" x14ac:dyDescent="0.2">
      <c r="E238" s="26" t="s">
        <v>444</v>
      </c>
      <c r="F238" s="20">
        <v>29507</v>
      </c>
      <c r="G238" s="20">
        <v>44396</v>
      </c>
      <c r="H238" s="12" t="s">
        <v>67</v>
      </c>
      <c r="I238" s="21" t="str">
        <f>IF(Tabela1[[#This Row],[Data de Saída]]="","",PROPER(TEXT(Tabela1[[#This Row],[Data de Saída]],"mmm")))</f>
        <v>Abr</v>
      </c>
      <c r="J238" s="21" t="str">
        <f>IF(Tabela1[[#This Row],[Data de Saída]]="","",PROPER(TEXT(Tabela1[[#This Row],[Data de Saída]],"aaaa")))</f>
        <v>2022</v>
      </c>
      <c r="K238" s="27" t="str">
        <f>IF(Tabela1[[#This Row],[Data Admissão]]="","",PROPER(TEXT(Tabela1[[#This Row],[Data Admissão]],"mmm")))</f>
        <v>Jul</v>
      </c>
      <c r="L238" s="21" t="str">
        <f>IF(Tabela1[[#This Row],[Data Admissão]]="","",PROPER(TEXT(Tabela1[[#This Row],[Data Admissão]],"aaaa")))</f>
        <v>2021</v>
      </c>
      <c r="M238" s="12" t="s">
        <v>602</v>
      </c>
      <c r="N238" s="22" t="str">
        <f>IFERROR(IF(Tabela1[[#This Row],[Data de Saída]]="","ATIVO","-"),"-")</f>
        <v>-</v>
      </c>
    </row>
    <row r="239" spans="5:14" ht="24.95" customHeight="1" x14ac:dyDescent="0.2">
      <c r="E239" s="26" t="s">
        <v>445</v>
      </c>
      <c r="F239" s="20">
        <v>37596</v>
      </c>
      <c r="G239" s="20">
        <v>44396</v>
      </c>
      <c r="H239" s="12"/>
      <c r="I239" s="21" t="str">
        <f>IF(Tabela1[[#This Row],[Data de Saída]]="","",PROPER(TEXT(Tabela1[[#This Row],[Data de Saída]],"mmm")))</f>
        <v/>
      </c>
      <c r="J239" s="21" t="str">
        <f>IF(Tabela1[[#This Row],[Data de Saída]]="","",PROPER(TEXT(Tabela1[[#This Row],[Data de Saída]],"aaaa")))</f>
        <v/>
      </c>
      <c r="K239" s="27" t="str">
        <f>IF(Tabela1[[#This Row],[Data Admissão]]="","",PROPER(TEXT(Tabela1[[#This Row],[Data Admissão]],"mmm")))</f>
        <v>Jul</v>
      </c>
      <c r="L239" s="21" t="str">
        <f>IF(Tabela1[[#This Row],[Data Admissão]]="","",PROPER(TEXT(Tabela1[[#This Row],[Data Admissão]],"aaaa")))</f>
        <v>2021</v>
      </c>
      <c r="M239" s="12" t="s">
        <v>594</v>
      </c>
      <c r="N239" s="22" t="str">
        <f>IFERROR(IF(Tabela1[[#This Row],[Data de Saída]]="","ATIVO","-"),"-")</f>
        <v>ATIVO</v>
      </c>
    </row>
    <row r="240" spans="5:14" ht="24.95" customHeight="1" x14ac:dyDescent="0.2">
      <c r="E240" s="26" t="s">
        <v>446</v>
      </c>
      <c r="F240" s="20">
        <v>36018</v>
      </c>
      <c r="G240" s="20">
        <v>44396</v>
      </c>
      <c r="H240" s="12" t="s">
        <v>81</v>
      </c>
      <c r="I240" s="21" t="str">
        <f>IF(Tabela1[[#This Row],[Data de Saída]]="","",PROPER(TEXT(Tabela1[[#This Row],[Data de Saída]],"mmm")))</f>
        <v>Set</v>
      </c>
      <c r="J240" s="21" t="str">
        <f>IF(Tabela1[[#This Row],[Data de Saída]]="","",PROPER(TEXT(Tabela1[[#This Row],[Data de Saída]],"aaaa")))</f>
        <v>2021</v>
      </c>
      <c r="K240" s="27" t="str">
        <f>IF(Tabela1[[#This Row],[Data Admissão]]="","",PROPER(TEXT(Tabela1[[#This Row],[Data Admissão]],"mmm")))</f>
        <v>Jul</v>
      </c>
      <c r="L240" s="21" t="str">
        <f>IF(Tabela1[[#This Row],[Data Admissão]]="","",PROPER(TEXT(Tabela1[[#This Row],[Data Admissão]],"aaaa")))</f>
        <v>2021</v>
      </c>
      <c r="M240" s="12" t="s">
        <v>594</v>
      </c>
      <c r="N240" s="22" t="str">
        <f>IFERROR(IF(Tabela1[[#This Row],[Data de Saída]]="","ATIVO","-"),"-")</f>
        <v>-</v>
      </c>
    </row>
    <row r="241" spans="5:14" ht="24.95" customHeight="1" x14ac:dyDescent="0.2">
      <c r="E241" s="26" t="s">
        <v>447</v>
      </c>
      <c r="F241" s="20">
        <v>28852</v>
      </c>
      <c r="G241" s="20">
        <v>44396</v>
      </c>
      <c r="H241" s="12" t="s">
        <v>48</v>
      </c>
      <c r="I241" s="21" t="str">
        <f>IF(Tabela1[[#This Row],[Data de Saída]]="","",PROPER(TEXT(Tabela1[[#This Row],[Data de Saída]],"mmm")))</f>
        <v>Abr</v>
      </c>
      <c r="J241" s="21" t="str">
        <f>IF(Tabela1[[#This Row],[Data de Saída]]="","",PROPER(TEXT(Tabela1[[#This Row],[Data de Saída]],"aaaa")))</f>
        <v>2022</v>
      </c>
      <c r="K241" s="27" t="str">
        <f>IF(Tabela1[[#This Row],[Data Admissão]]="","",PROPER(TEXT(Tabela1[[#This Row],[Data Admissão]],"mmm")))</f>
        <v>Jul</v>
      </c>
      <c r="L241" s="21" t="str">
        <f>IF(Tabela1[[#This Row],[Data Admissão]]="","",PROPER(TEXT(Tabela1[[#This Row],[Data Admissão]],"aaaa")))</f>
        <v>2021</v>
      </c>
      <c r="M241" s="12" t="s">
        <v>595</v>
      </c>
      <c r="N241" s="22" t="str">
        <f>IFERROR(IF(Tabela1[[#This Row],[Data de Saída]]="","ATIVO","-"),"-")</f>
        <v>-</v>
      </c>
    </row>
    <row r="242" spans="5:14" ht="24.95" customHeight="1" x14ac:dyDescent="0.2">
      <c r="E242" s="26" t="s">
        <v>448</v>
      </c>
      <c r="F242" s="20">
        <v>36380</v>
      </c>
      <c r="G242" s="20">
        <v>44396</v>
      </c>
      <c r="H242" s="12" t="s">
        <v>139</v>
      </c>
      <c r="I242" s="21" t="str">
        <f>IF(Tabela1[[#This Row],[Data de Saída]]="","",PROPER(TEXT(Tabela1[[#This Row],[Data de Saída]],"mmm")))</f>
        <v>Jul</v>
      </c>
      <c r="J242" s="21" t="str">
        <f>IF(Tabela1[[#This Row],[Data de Saída]]="","",PROPER(TEXT(Tabela1[[#This Row],[Data de Saída]],"aaaa")))</f>
        <v>2023</v>
      </c>
      <c r="K242" s="27" t="str">
        <f>IF(Tabela1[[#This Row],[Data Admissão]]="","",PROPER(TEXT(Tabela1[[#This Row],[Data Admissão]],"mmm")))</f>
        <v>Jul</v>
      </c>
      <c r="L242" s="21" t="str">
        <f>IF(Tabela1[[#This Row],[Data Admissão]]="","",PROPER(TEXT(Tabela1[[#This Row],[Data Admissão]],"aaaa")))</f>
        <v>2021</v>
      </c>
      <c r="M242" s="12" t="s">
        <v>596</v>
      </c>
      <c r="N242" s="22" t="str">
        <f>IFERROR(IF(Tabela1[[#This Row],[Data de Saída]]="","ATIVO","-"),"-")</f>
        <v>-</v>
      </c>
    </row>
    <row r="243" spans="5:14" ht="24.95" customHeight="1" x14ac:dyDescent="0.2">
      <c r="E243" s="26" t="s">
        <v>449</v>
      </c>
      <c r="F243" s="20">
        <v>30585</v>
      </c>
      <c r="G243" s="20">
        <v>44399</v>
      </c>
      <c r="H243" s="12" t="s">
        <v>50</v>
      </c>
      <c r="I243" s="21" t="str">
        <f>IF(Tabela1[[#This Row],[Data de Saída]]="","",PROPER(TEXT(Tabela1[[#This Row],[Data de Saída]],"mmm")))</f>
        <v>Set</v>
      </c>
      <c r="J243" s="21" t="str">
        <f>IF(Tabela1[[#This Row],[Data de Saída]]="","",PROPER(TEXT(Tabela1[[#This Row],[Data de Saída]],"aaaa")))</f>
        <v>2022</v>
      </c>
      <c r="K243" s="27" t="str">
        <f>IF(Tabela1[[#This Row],[Data Admissão]]="","",PROPER(TEXT(Tabela1[[#This Row],[Data Admissão]],"mmm")))</f>
        <v>Jul</v>
      </c>
      <c r="L243" s="21" t="str">
        <f>IF(Tabela1[[#This Row],[Data Admissão]]="","",PROPER(TEXT(Tabela1[[#This Row],[Data Admissão]],"aaaa")))</f>
        <v>2021</v>
      </c>
      <c r="M243" s="12" t="s">
        <v>597</v>
      </c>
      <c r="N243" s="22" t="str">
        <f>IFERROR(IF(Tabela1[[#This Row],[Data de Saída]]="","ATIVO","-"),"-")</f>
        <v>-</v>
      </c>
    </row>
    <row r="244" spans="5:14" ht="24.95" customHeight="1" x14ac:dyDescent="0.2">
      <c r="E244" s="26" t="s">
        <v>450</v>
      </c>
      <c r="F244" s="20">
        <v>35336</v>
      </c>
      <c r="G244" s="20">
        <v>44399</v>
      </c>
      <c r="H244" s="12"/>
      <c r="I244" s="21" t="str">
        <f>IF(Tabela1[[#This Row],[Data de Saída]]="","",PROPER(TEXT(Tabela1[[#This Row],[Data de Saída]],"mmm")))</f>
        <v/>
      </c>
      <c r="J244" s="21" t="str">
        <f>IF(Tabela1[[#This Row],[Data de Saída]]="","",PROPER(TEXT(Tabela1[[#This Row],[Data de Saída]],"aaaa")))</f>
        <v/>
      </c>
      <c r="K244" s="27" t="str">
        <f>IF(Tabela1[[#This Row],[Data Admissão]]="","",PROPER(TEXT(Tabela1[[#This Row],[Data Admissão]],"mmm")))</f>
        <v>Jul</v>
      </c>
      <c r="L244" s="21" t="str">
        <f>IF(Tabela1[[#This Row],[Data Admissão]]="","",PROPER(TEXT(Tabela1[[#This Row],[Data Admissão]],"aaaa")))</f>
        <v>2021</v>
      </c>
      <c r="M244" s="12" t="s">
        <v>598</v>
      </c>
      <c r="N244" s="22" t="str">
        <f>IFERROR(IF(Tabela1[[#This Row],[Data de Saída]]="","ATIVO","-"),"-")</f>
        <v>ATIVO</v>
      </c>
    </row>
    <row r="245" spans="5:14" ht="24.95" customHeight="1" x14ac:dyDescent="0.2">
      <c r="E245" s="26" t="s">
        <v>451</v>
      </c>
      <c r="F245" s="20">
        <v>26248</v>
      </c>
      <c r="G245" s="20">
        <v>44403</v>
      </c>
      <c r="H245" s="12"/>
      <c r="I245" s="21" t="str">
        <f>IF(Tabela1[[#This Row],[Data de Saída]]="","",PROPER(TEXT(Tabela1[[#This Row],[Data de Saída]],"mmm")))</f>
        <v/>
      </c>
      <c r="J245" s="21" t="str">
        <f>IF(Tabela1[[#This Row],[Data de Saída]]="","",PROPER(TEXT(Tabela1[[#This Row],[Data de Saída]],"aaaa")))</f>
        <v/>
      </c>
      <c r="K245" s="27" t="str">
        <f>IF(Tabela1[[#This Row],[Data Admissão]]="","",PROPER(TEXT(Tabela1[[#This Row],[Data Admissão]],"mmm")))</f>
        <v>Jul</v>
      </c>
      <c r="L245" s="21" t="str">
        <f>IF(Tabela1[[#This Row],[Data Admissão]]="","",PROPER(TEXT(Tabela1[[#This Row],[Data Admissão]],"aaaa")))</f>
        <v>2021</v>
      </c>
      <c r="M245" s="12" t="s">
        <v>599</v>
      </c>
      <c r="N245" s="22" t="str">
        <f>IFERROR(IF(Tabela1[[#This Row],[Data de Saída]]="","ATIVO","-"),"-")</f>
        <v>ATIVO</v>
      </c>
    </row>
    <row r="246" spans="5:14" ht="24.95" customHeight="1" x14ac:dyDescent="0.2">
      <c r="E246" s="26" t="s">
        <v>452</v>
      </c>
      <c r="F246" s="20">
        <v>35076</v>
      </c>
      <c r="G246" s="20">
        <v>44411</v>
      </c>
      <c r="H246" s="12" t="s">
        <v>109</v>
      </c>
      <c r="I246" s="21" t="str">
        <f>IF(Tabela1[[#This Row],[Data de Saída]]="","",PROPER(TEXT(Tabela1[[#This Row],[Data de Saída]],"mmm")))</f>
        <v>Jan</v>
      </c>
      <c r="J246" s="21" t="str">
        <f>IF(Tabela1[[#This Row],[Data de Saída]]="","",PROPER(TEXT(Tabela1[[#This Row],[Data de Saída]],"aaaa")))</f>
        <v>2024</v>
      </c>
      <c r="K246" s="27" t="str">
        <f>IF(Tabela1[[#This Row],[Data Admissão]]="","",PROPER(TEXT(Tabela1[[#This Row],[Data Admissão]],"mmm")))</f>
        <v>Ago</v>
      </c>
      <c r="L246" s="21" t="str">
        <f>IF(Tabela1[[#This Row],[Data Admissão]]="","",PROPER(TEXT(Tabela1[[#This Row],[Data Admissão]],"aaaa")))</f>
        <v>2021</v>
      </c>
      <c r="M246" s="12" t="s">
        <v>599</v>
      </c>
      <c r="N246" s="22" t="str">
        <f>IFERROR(IF(Tabela1[[#This Row],[Data de Saída]]="","ATIVO","-"),"-")</f>
        <v>-</v>
      </c>
    </row>
    <row r="247" spans="5:14" ht="24.95" customHeight="1" x14ac:dyDescent="0.2">
      <c r="E247" s="26" t="s">
        <v>453</v>
      </c>
      <c r="F247" s="20">
        <v>37369</v>
      </c>
      <c r="G247" s="20">
        <v>44428</v>
      </c>
      <c r="H247" s="12" t="s">
        <v>64</v>
      </c>
      <c r="I247" s="21" t="str">
        <f>IF(Tabela1[[#This Row],[Data de Saída]]="","",PROPER(TEXT(Tabela1[[#This Row],[Data de Saída]],"mmm")))</f>
        <v>Out</v>
      </c>
      <c r="J247" s="21" t="str">
        <f>IF(Tabela1[[#This Row],[Data de Saída]]="","",PROPER(TEXT(Tabela1[[#This Row],[Data de Saída]],"aaaa")))</f>
        <v>2021</v>
      </c>
      <c r="K247" s="27" t="str">
        <f>IF(Tabela1[[#This Row],[Data Admissão]]="","",PROPER(TEXT(Tabela1[[#This Row],[Data Admissão]],"mmm")))</f>
        <v>Ago</v>
      </c>
      <c r="L247" s="21" t="str">
        <f>IF(Tabela1[[#This Row],[Data Admissão]]="","",PROPER(TEXT(Tabela1[[#This Row],[Data Admissão]],"aaaa")))</f>
        <v>2021</v>
      </c>
      <c r="M247" s="12" t="s">
        <v>599</v>
      </c>
      <c r="N247" s="22" t="str">
        <f>IFERROR(IF(Tabela1[[#This Row],[Data de Saída]]="","ATIVO","-"),"-")</f>
        <v>-</v>
      </c>
    </row>
    <row r="248" spans="5:14" ht="24.95" customHeight="1" x14ac:dyDescent="0.2">
      <c r="E248" s="26" t="s">
        <v>454</v>
      </c>
      <c r="F248" s="20">
        <v>30718</v>
      </c>
      <c r="G248" s="20">
        <v>44459</v>
      </c>
      <c r="H248" s="12" t="s">
        <v>50</v>
      </c>
      <c r="I248" s="21" t="str">
        <f>IF(Tabela1[[#This Row],[Data de Saída]]="","",PROPER(TEXT(Tabela1[[#This Row],[Data de Saída]],"mmm")))</f>
        <v>Set</v>
      </c>
      <c r="J248" s="21" t="str">
        <f>IF(Tabela1[[#This Row],[Data de Saída]]="","",PROPER(TEXT(Tabela1[[#This Row],[Data de Saída]],"aaaa")))</f>
        <v>2022</v>
      </c>
      <c r="K248" s="27" t="str">
        <f>IF(Tabela1[[#This Row],[Data Admissão]]="","",PROPER(TEXT(Tabela1[[#This Row],[Data Admissão]],"mmm")))</f>
        <v>Set</v>
      </c>
      <c r="L248" s="21" t="str">
        <f>IF(Tabela1[[#This Row],[Data Admissão]]="","",PROPER(TEXT(Tabela1[[#This Row],[Data Admissão]],"aaaa")))</f>
        <v>2021</v>
      </c>
      <c r="M248" s="12" t="s">
        <v>599</v>
      </c>
      <c r="N248" s="22" t="str">
        <f>IFERROR(IF(Tabela1[[#This Row],[Data de Saída]]="","ATIVO","-"),"-")</f>
        <v>-</v>
      </c>
    </row>
    <row r="249" spans="5:14" ht="24.95" customHeight="1" x14ac:dyDescent="0.2">
      <c r="E249" s="26" t="s">
        <v>455</v>
      </c>
      <c r="F249" s="20">
        <v>36953</v>
      </c>
      <c r="G249" s="20">
        <v>44599</v>
      </c>
      <c r="H249" s="12" t="s">
        <v>14</v>
      </c>
      <c r="I249" s="21" t="str">
        <f>IF(Tabela1[[#This Row],[Data de Saída]]="","",PROPER(TEXT(Tabela1[[#This Row],[Data de Saída]],"mmm")))</f>
        <v>Abr</v>
      </c>
      <c r="J249" s="21" t="str">
        <f>IF(Tabela1[[#This Row],[Data de Saída]]="","",PROPER(TEXT(Tabela1[[#This Row],[Data de Saída]],"aaaa")))</f>
        <v>2022</v>
      </c>
      <c r="K249" s="27" t="str">
        <f>IF(Tabela1[[#This Row],[Data Admissão]]="","",PROPER(TEXT(Tabela1[[#This Row],[Data Admissão]],"mmm")))</f>
        <v>Fev</v>
      </c>
      <c r="L249" s="21" t="str">
        <f>IF(Tabela1[[#This Row],[Data Admissão]]="","",PROPER(TEXT(Tabela1[[#This Row],[Data Admissão]],"aaaa")))</f>
        <v>2022</v>
      </c>
      <c r="M249" s="12" t="s">
        <v>600</v>
      </c>
      <c r="N249" s="22" t="str">
        <f>IFERROR(IF(Tabela1[[#This Row],[Data de Saída]]="","ATIVO","-"),"-")</f>
        <v>-</v>
      </c>
    </row>
    <row r="250" spans="5:14" ht="24.95" customHeight="1" x14ac:dyDescent="0.2">
      <c r="E250" s="26" t="s">
        <v>456</v>
      </c>
      <c r="F250" s="20">
        <v>36156</v>
      </c>
      <c r="G250" s="20">
        <v>44599</v>
      </c>
      <c r="H250" s="12"/>
      <c r="I250" s="21" t="str">
        <f>IF(Tabela1[[#This Row],[Data de Saída]]="","",PROPER(TEXT(Tabela1[[#This Row],[Data de Saída]],"mmm")))</f>
        <v/>
      </c>
      <c r="J250" s="21" t="str">
        <f>IF(Tabela1[[#This Row],[Data de Saída]]="","",PROPER(TEXT(Tabela1[[#This Row],[Data de Saída]],"aaaa")))</f>
        <v/>
      </c>
      <c r="K250" s="27" t="str">
        <f>IF(Tabela1[[#This Row],[Data Admissão]]="","",PROPER(TEXT(Tabela1[[#This Row],[Data Admissão]],"mmm")))</f>
        <v>Fev</v>
      </c>
      <c r="L250" s="21" t="str">
        <f>IF(Tabela1[[#This Row],[Data Admissão]]="","",PROPER(TEXT(Tabela1[[#This Row],[Data Admissão]],"aaaa")))</f>
        <v>2022</v>
      </c>
      <c r="M250" s="12" t="s">
        <v>601</v>
      </c>
      <c r="N250" s="22" t="str">
        <f>IFERROR(IF(Tabela1[[#This Row],[Data de Saída]]="","ATIVO","-"),"-")</f>
        <v>ATIVO</v>
      </c>
    </row>
    <row r="251" spans="5:14" ht="24.95" customHeight="1" x14ac:dyDescent="0.2">
      <c r="E251" s="26" t="s">
        <v>457</v>
      </c>
      <c r="F251" s="20">
        <v>31401</v>
      </c>
      <c r="G251" s="20">
        <v>44599</v>
      </c>
      <c r="H251" s="12" t="s">
        <v>14</v>
      </c>
      <c r="I251" s="21" t="str">
        <f>IF(Tabela1[[#This Row],[Data de Saída]]="","",PROPER(TEXT(Tabela1[[#This Row],[Data de Saída]],"mmm")))</f>
        <v>Abr</v>
      </c>
      <c r="J251" s="21" t="str">
        <f>IF(Tabela1[[#This Row],[Data de Saída]]="","",PROPER(TEXT(Tabela1[[#This Row],[Data de Saída]],"aaaa")))</f>
        <v>2022</v>
      </c>
      <c r="K251" s="27" t="str">
        <f>IF(Tabela1[[#This Row],[Data Admissão]]="","",PROPER(TEXT(Tabela1[[#This Row],[Data Admissão]],"mmm")))</f>
        <v>Fev</v>
      </c>
      <c r="L251" s="21" t="str">
        <f>IF(Tabela1[[#This Row],[Data Admissão]]="","",PROPER(TEXT(Tabela1[[#This Row],[Data Admissão]],"aaaa")))</f>
        <v>2022</v>
      </c>
      <c r="M251" s="12" t="s">
        <v>602</v>
      </c>
      <c r="N251" s="22" t="str">
        <f>IFERROR(IF(Tabela1[[#This Row],[Data de Saída]]="","ATIVO","-"),"-")</f>
        <v>-</v>
      </c>
    </row>
    <row r="252" spans="5:14" ht="24.95" customHeight="1" x14ac:dyDescent="0.2">
      <c r="E252" s="26" t="s">
        <v>458</v>
      </c>
      <c r="F252" s="20">
        <v>36920</v>
      </c>
      <c r="G252" s="20">
        <v>44599</v>
      </c>
      <c r="H252" s="12" t="s">
        <v>14</v>
      </c>
      <c r="I252" s="21" t="str">
        <f>IF(Tabela1[[#This Row],[Data de Saída]]="","",PROPER(TEXT(Tabela1[[#This Row],[Data de Saída]],"mmm")))</f>
        <v>Abr</v>
      </c>
      <c r="J252" s="21" t="str">
        <f>IF(Tabela1[[#This Row],[Data de Saída]]="","",PROPER(TEXT(Tabela1[[#This Row],[Data de Saída]],"aaaa")))</f>
        <v>2022</v>
      </c>
      <c r="K252" s="27" t="str">
        <f>IF(Tabela1[[#This Row],[Data Admissão]]="","",PROPER(TEXT(Tabela1[[#This Row],[Data Admissão]],"mmm")))</f>
        <v>Fev</v>
      </c>
      <c r="L252" s="21" t="str">
        <f>IF(Tabela1[[#This Row],[Data Admissão]]="","",PROPER(TEXT(Tabela1[[#This Row],[Data Admissão]],"aaaa")))</f>
        <v>2022</v>
      </c>
      <c r="M252" s="12" t="s">
        <v>594</v>
      </c>
      <c r="N252" s="22" t="str">
        <f>IFERROR(IF(Tabela1[[#This Row],[Data de Saída]]="","ATIVO","-"),"-")</f>
        <v>-</v>
      </c>
    </row>
    <row r="253" spans="5:14" ht="24.95" customHeight="1" x14ac:dyDescent="0.2">
      <c r="E253" s="26" t="s">
        <v>459</v>
      </c>
      <c r="F253" s="20">
        <v>35527</v>
      </c>
      <c r="G253" s="20">
        <v>44606</v>
      </c>
      <c r="H253" s="12" t="s">
        <v>60</v>
      </c>
      <c r="I253" s="21" t="str">
        <f>IF(Tabela1[[#This Row],[Data de Saída]]="","",PROPER(TEXT(Tabela1[[#This Row],[Data de Saída]],"mmm")))</f>
        <v>Mai</v>
      </c>
      <c r="J253" s="21" t="str">
        <f>IF(Tabela1[[#This Row],[Data de Saída]]="","",PROPER(TEXT(Tabela1[[#This Row],[Data de Saída]],"aaaa")))</f>
        <v>2022</v>
      </c>
      <c r="K253" s="27" t="str">
        <f>IF(Tabela1[[#This Row],[Data Admissão]]="","",PROPER(TEXT(Tabela1[[#This Row],[Data Admissão]],"mmm")))</f>
        <v>Fev</v>
      </c>
      <c r="L253" s="21" t="str">
        <f>IF(Tabela1[[#This Row],[Data Admissão]]="","",PROPER(TEXT(Tabela1[[#This Row],[Data Admissão]],"aaaa")))</f>
        <v>2022</v>
      </c>
      <c r="M253" s="12" t="s">
        <v>594</v>
      </c>
      <c r="N253" s="22" t="str">
        <f>IFERROR(IF(Tabela1[[#This Row],[Data de Saída]]="","ATIVO","-"),"-")</f>
        <v>-</v>
      </c>
    </row>
    <row r="254" spans="5:14" ht="24.95" customHeight="1" x14ac:dyDescent="0.2">
      <c r="E254" s="26" t="s">
        <v>460</v>
      </c>
      <c r="F254" s="20">
        <v>30272</v>
      </c>
      <c r="G254" s="20">
        <v>44635</v>
      </c>
      <c r="H254" s="12" t="s">
        <v>14</v>
      </c>
      <c r="I254" s="21" t="str">
        <f>IF(Tabela1[[#This Row],[Data de Saída]]="","",PROPER(TEXT(Tabela1[[#This Row],[Data de Saída]],"mmm")))</f>
        <v>Abr</v>
      </c>
      <c r="J254" s="21" t="str">
        <f>IF(Tabela1[[#This Row],[Data de Saída]]="","",PROPER(TEXT(Tabela1[[#This Row],[Data de Saída]],"aaaa")))</f>
        <v>2022</v>
      </c>
      <c r="K254" s="27" t="str">
        <f>IF(Tabela1[[#This Row],[Data Admissão]]="","",PROPER(TEXT(Tabela1[[#This Row],[Data Admissão]],"mmm")))</f>
        <v>Mar</v>
      </c>
      <c r="L254" s="21" t="str">
        <f>IF(Tabela1[[#This Row],[Data Admissão]]="","",PROPER(TEXT(Tabela1[[#This Row],[Data Admissão]],"aaaa")))</f>
        <v>2022</v>
      </c>
      <c r="M254" s="12" t="s">
        <v>595</v>
      </c>
      <c r="N254" s="22" t="str">
        <f>IFERROR(IF(Tabela1[[#This Row],[Data de Saída]]="","ATIVO","-"),"-")</f>
        <v>-</v>
      </c>
    </row>
    <row r="255" spans="5:14" ht="24.95" customHeight="1" x14ac:dyDescent="0.2">
      <c r="E255" s="26" t="s">
        <v>461</v>
      </c>
      <c r="F255" s="20">
        <v>27192</v>
      </c>
      <c r="G255" s="20">
        <v>44678</v>
      </c>
      <c r="H255" s="12"/>
      <c r="I255" s="21" t="str">
        <f>IF(Tabela1[[#This Row],[Data de Saída]]="","",PROPER(TEXT(Tabela1[[#This Row],[Data de Saída]],"mmm")))</f>
        <v/>
      </c>
      <c r="J255" s="21" t="str">
        <f>IF(Tabela1[[#This Row],[Data de Saída]]="","",PROPER(TEXT(Tabela1[[#This Row],[Data de Saída]],"aaaa")))</f>
        <v/>
      </c>
      <c r="K255" s="27" t="str">
        <f>IF(Tabela1[[#This Row],[Data Admissão]]="","",PROPER(TEXT(Tabela1[[#This Row],[Data Admissão]],"mmm")))</f>
        <v>Abr</v>
      </c>
      <c r="L255" s="21" t="str">
        <f>IF(Tabela1[[#This Row],[Data Admissão]]="","",PROPER(TEXT(Tabela1[[#This Row],[Data Admissão]],"aaaa")))</f>
        <v>2022</v>
      </c>
      <c r="M255" s="12" t="s">
        <v>596</v>
      </c>
      <c r="N255" s="22" t="str">
        <f>IFERROR(IF(Tabela1[[#This Row],[Data de Saída]]="","ATIVO","-"),"-")</f>
        <v>ATIVO</v>
      </c>
    </row>
    <row r="256" spans="5:14" ht="24.95" customHeight="1" x14ac:dyDescent="0.2">
      <c r="E256" s="26" t="s">
        <v>462</v>
      </c>
      <c r="F256" s="20">
        <v>34041</v>
      </c>
      <c r="G256" s="20">
        <v>44768</v>
      </c>
      <c r="H256" s="12"/>
      <c r="I256" s="21" t="str">
        <f>IF(Tabela1[[#This Row],[Data de Saída]]="","",PROPER(TEXT(Tabela1[[#This Row],[Data de Saída]],"mmm")))</f>
        <v/>
      </c>
      <c r="J256" s="21" t="str">
        <f>IF(Tabela1[[#This Row],[Data de Saída]]="","",PROPER(TEXT(Tabela1[[#This Row],[Data de Saída]],"aaaa")))</f>
        <v/>
      </c>
      <c r="K256" s="27" t="str">
        <f>IF(Tabela1[[#This Row],[Data Admissão]]="","",PROPER(TEXT(Tabela1[[#This Row],[Data Admissão]],"mmm")))</f>
        <v>Jul</v>
      </c>
      <c r="L256" s="21" t="str">
        <f>IF(Tabela1[[#This Row],[Data Admissão]]="","",PROPER(TEXT(Tabela1[[#This Row],[Data Admissão]],"aaaa")))</f>
        <v>2022</v>
      </c>
      <c r="M256" s="12" t="s">
        <v>597</v>
      </c>
      <c r="N256" s="22" t="str">
        <f>IFERROR(IF(Tabela1[[#This Row],[Data de Saída]]="","ATIVO","-"),"-")</f>
        <v>ATIVO</v>
      </c>
    </row>
    <row r="257" spans="5:14" ht="24.95" customHeight="1" x14ac:dyDescent="0.2">
      <c r="E257" s="26" t="s">
        <v>463</v>
      </c>
      <c r="F257" s="20">
        <v>36061</v>
      </c>
      <c r="G257" s="20">
        <v>44768</v>
      </c>
      <c r="H257" s="12"/>
      <c r="I257" s="21" t="str">
        <f>IF(Tabela1[[#This Row],[Data de Saída]]="","",PROPER(TEXT(Tabela1[[#This Row],[Data de Saída]],"mmm")))</f>
        <v/>
      </c>
      <c r="J257" s="21" t="str">
        <f>IF(Tabela1[[#This Row],[Data de Saída]]="","",PROPER(TEXT(Tabela1[[#This Row],[Data de Saída]],"aaaa")))</f>
        <v/>
      </c>
      <c r="K257" s="27" t="str">
        <f>IF(Tabela1[[#This Row],[Data Admissão]]="","",PROPER(TEXT(Tabela1[[#This Row],[Data Admissão]],"mmm")))</f>
        <v>Jul</v>
      </c>
      <c r="L257" s="21" t="str">
        <f>IF(Tabela1[[#This Row],[Data Admissão]]="","",PROPER(TEXT(Tabela1[[#This Row],[Data Admissão]],"aaaa")))</f>
        <v>2022</v>
      </c>
      <c r="M257" s="12" t="s">
        <v>598</v>
      </c>
      <c r="N257" s="22" t="str">
        <f>IFERROR(IF(Tabela1[[#This Row],[Data de Saída]]="","ATIVO","-"),"-")</f>
        <v>ATIVO</v>
      </c>
    </row>
    <row r="258" spans="5:14" ht="24.95" customHeight="1" x14ac:dyDescent="0.2">
      <c r="E258" s="26" t="s">
        <v>464</v>
      </c>
      <c r="F258" s="20">
        <v>30777</v>
      </c>
      <c r="G258" s="20">
        <v>44768</v>
      </c>
      <c r="H258" s="12" t="s">
        <v>66</v>
      </c>
      <c r="I258" s="21" t="str">
        <f>IF(Tabela1[[#This Row],[Data de Saída]]="","",PROPER(TEXT(Tabela1[[#This Row],[Data de Saída]],"mmm")))</f>
        <v>Ago</v>
      </c>
      <c r="J258" s="21" t="str">
        <f>IF(Tabela1[[#This Row],[Data de Saída]]="","",PROPER(TEXT(Tabela1[[#This Row],[Data de Saída]],"aaaa")))</f>
        <v>2022</v>
      </c>
      <c r="K258" s="27" t="str">
        <f>IF(Tabela1[[#This Row],[Data Admissão]]="","",PROPER(TEXT(Tabela1[[#This Row],[Data Admissão]],"mmm")))</f>
        <v>Jul</v>
      </c>
      <c r="L258" s="21" t="str">
        <f>IF(Tabela1[[#This Row],[Data Admissão]]="","",PROPER(TEXT(Tabela1[[#This Row],[Data Admissão]],"aaaa")))</f>
        <v>2022</v>
      </c>
      <c r="M258" s="12" t="s">
        <v>599</v>
      </c>
      <c r="N258" s="22" t="str">
        <f>IFERROR(IF(Tabela1[[#This Row],[Data de Saída]]="","ATIVO","-"),"-")</f>
        <v>-</v>
      </c>
    </row>
    <row r="259" spans="5:14" ht="24.95" customHeight="1" x14ac:dyDescent="0.2">
      <c r="E259" s="26" t="s">
        <v>465</v>
      </c>
      <c r="F259" s="20">
        <v>35097</v>
      </c>
      <c r="G259" s="20">
        <v>44768</v>
      </c>
      <c r="H259" s="12"/>
      <c r="I259" s="21" t="str">
        <f>IF(Tabela1[[#This Row],[Data de Saída]]="","",PROPER(TEXT(Tabela1[[#This Row],[Data de Saída]],"mmm")))</f>
        <v/>
      </c>
      <c r="J259" s="21" t="str">
        <f>IF(Tabela1[[#This Row],[Data de Saída]]="","",PROPER(TEXT(Tabela1[[#This Row],[Data de Saída]],"aaaa")))</f>
        <v/>
      </c>
      <c r="K259" s="27" t="str">
        <f>IF(Tabela1[[#This Row],[Data Admissão]]="","",PROPER(TEXT(Tabela1[[#This Row],[Data Admissão]],"mmm")))</f>
        <v>Jul</v>
      </c>
      <c r="L259" s="21" t="str">
        <f>IF(Tabela1[[#This Row],[Data Admissão]]="","",PROPER(TEXT(Tabela1[[#This Row],[Data Admissão]],"aaaa")))</f>
        <v>2022</v>
      </c>
      <c r="M259" s="12" t="s">
        <v>599</v>
      </c>
      <c r="N259" s="22" t="str">
        <f>IFERROR(IF(Tabela1[[#This Row],[Data de Saída]]="","ATIVO","-"),"-")</f>
        <v>ATIVO</v>
      </c>
    </row>
    <row r="260" spans="5:14" ht="24.95" customHeight="1" x14ac:dyDescent="0.2">
      <c r="E260" s="26" t="s">
        <v>466</v>
      </c>
      <c r="F260" s="20">
        <v>34069</v>
      </c>
      <c r="G260" s="20">
        <v>44768</v>
      </c>
      <c r="H260" s="12"/>
      <c r="I260" s="21" t="str">
        <f>IF(Tabela1[[#This Row],[Data de Saída]]="","",PROPER(TEXT(Tabela1[[#This Row],[Data de Saída]],"mmm")))</f>
        <v/>
      </c>
      <c r="J260" s="21" t="str">
        <f>IF(Tabela1[[#This Row],[Data de Saída]]="","",PROPER(TEXT(Tabela1[[#This Row],[Data de Saída]],"aaaa")))</f>
        <v/>
      </c>
      <c r="K260" s="27" t="str">
        <f>IF(Tabela1[[#This Row],[Data Admissão]]="","",PROPER(TEXT(Tabela1[[#This Row],[Data Admissão]],"mmm")))</f>
        <v>Jul</v>
      </c>
      <c r="L260" s="21" t="str">
        <f>IF(Tabela1[[#This Row],[Data Admissão]]="","",PROPER(TEXT(Tabela1[[#This Row],[Data Admissão]],"aaaa")))</f>
        <v>2022</v>
      </c>
      <c r="M260" s="12" t="s">
        <v>599</v>
      </c>
      <c r="N260" s="22" t="str">
        <f>IFERROR(IF(Tabela1[[#This Row],[Data de Saída]]="","ATIVO","-"),"-")</f>
        <v>ATIVO</v>
      </c>
    </row>
    <row r="261" spans="5:14" ht="24.95" customHeight="1" x14ac:dyDescent="0.2">
      <c r="E261" s="26" t="s">
        <v>467</v>
      </c>
      <c r="F261" s="20">
        <v>36761</v>
      </c>
      <c r="G261" s="20">
        <v>44768</v>
      </c>
      <c r="H261" s="12" t="s">
        <v>82</v>
      </c>
      <c r="I261" s="21" t="str">
        <f>IF(Tabela1[[#This Row],[Data de Saída]]="","",PROPER(TEXT(Tabela1[[#This Row],[Data de Saída]],"mmm")))</f>
        <v>Ago</v>
      </c>
      <c r="J261" s="21" t="str">
        <f>IF(Tabela1[[#This Row],[Data de Saída]]="","",PROPER(TEXT(Tabela1[[#This Row],[Data de Saída]],"aaaa")))</f>
        <v>2022</v>
      </c>
      <c r="K261" s="27" t="str">
        <f>IF(Tabela1[[#This Row],[Data Admissão]]="","",PROPER(TEXT(Tabela1[[#This Row],[Data Admissão]],"mmm")))</f>
        <v>Jul</v>
      </c>
      <c r="L261" s="21" t="str">
        <f>IF(Tabela1[[#This Row],[Data Admissão]]="","",PROPER(TEXT(Tabela1[[#This Row],[Data Admissão]],"aaaa")))</f>
        <v>2022</v>
      </c>
      <c r="M261" s="12" t="s">
        <v>599</v>
      </c>
      <c r="N261" s="22" t="str">
        <f>IFERROR(IF(Tabela1[[#This Row],[Data de Saída]]="","ATIVO","-"),"-")</f>
        <v>-</v>
      </c>
    </row>
    <row r="262" spans="5:14" ht="24.95" customHeight="1" x14ac:dyDescent="0.2">
      <c r="E262" s="26" t="s">
        <v>468</v>
      </c>
      <c r="F262" s="20">
        <v>36180</v>
      </c>
      <c r="G262" s="20">
        <v>44768</v>
      </c>
      <c r="H262" s="12" t="s">
        <v>95</v>
      </c>
      <c r="I262" s="21" t="str">
        <f>IF(Tabela1[[#This Row],[Data de Saída]]="","",PROPER(TEXT(Tabela1[[#This Row],[Data de Saída]],"mmm")))</f>
        <v>Set</v>
      </c>
      <c r="J262" s="21" t="str">
        <f>IF(Tabela1[[#This Row],[Data de Saída]]="","",PROPER(TEXT(Tabela1[[#This Row],[Data de Saída]],"aaaa")))</f>
        <v>2022</v>
      </c>
      <c r="K262" s="27" t="str">
        <f>IF(Tabela1[[#This Row],[Data Admissão]]="","",PROPER(TEXT(Tabela1[[#This Row],[Data Admissão]],"mmm")))</f>
        <v>Jul</v>
      </c>
      <c r="L262" s="21" t="str">
        <f>IF(Tabela1[[#This Row],[Data Admissão]]="","",PROPER(TEXT(Tabela1[[#This Row],[Data Admissão]],"aaaa")))</f>
        <v>2022</v>
      </c>
      <c r="M262" s="12" t="s">
        <v>600</v>
      </c>
      <c r="N262" s="22" t="str">
        <f>IFERROR(IF(Tabela1[[#This Row],[Data de Saída]]="","ATIVO","-"),"-")</f>
        <v>-</v>
      </c>
    </row>
    <row r="263" spans="5:14" ht="24.95" customHeight="1" x14ac:dyDescent="0.2">
      <c r="E263" s="26" t="s">
        <v>469</v>
      </c>
      <c r="F263" s="20">
        <v>35439</v>
      </c>
      <c r="G263" s="20">
        <v>44768</v>
      </c>
      <c r="H263" s="12" t="s">
        <v>95</v>
      </c>
      <c r="I263" s="21" t="str">
        <f>IF(Tabela1[[#This Row],[Data de Saída]]="","",PROPER(TEXT(Tabela1[[#This Row],[Data de Saída]],"mmm")))</f>
        <v>Set</v>
      </c>
      <c r="J263" s="21" t="str">
        <f>IF(Tabela1[[#This Row],[Data de Saída]]="","",PROPER(TEXT(Tabela1[[#This Row],[Data de Saída]],"aaaa")))</f>
        <v>2022</v>
      </c>
      <c r="K263" s="27" t="str">
        <f>IF(Tabela1[[#This Row],[Data Admissão]]="","",PROPER(TEXT(Tabela1[[#This Row],[Data Admissão]],"mmm")))</f>
        <v>Jul</v>
      </c>
      <c r="L263" s="21" t="str">
        <f>IF(Tabela1[[#This Row],[Data Admissão]]="","",PROPER(TEXT(Tabela1[[#This Row],[Data Admissão]],"aaaa")))</f>
        <v>2022</v>
      </c>
      <c r="M263" s="12" t="s">
        <v>601</v>
      </c>
      <c r="N263" s="22" t="str">
        <f>IFERROR(IF(Tabela1[[#This Row],[Data de Saída]]="","ATIVO","-"),"-")</f>
        <v>-</v>
      </c>
    </row>
    <row r="264" spans="5:14" ht="24.95" customHeight="1" x14ac:dyDescent="0.2">
      <c r="E264" s="26" t="s">
        <v>470</v>
      </c>
      <c r="F264" s="20">
        <v>34743</v>
      </c>
      <c r="G264" s="20">
        <v>44768</v>
      </c>
      <c r="H264" s="12" t="s">
        <v>155</v>
      </c>
      <c r="I264" s="21" t="str">
        <f>IF(Tabela1[[#This Row],[Data de Saída]]="","",PROPER(TEXT(Tabela1[[#This Row],[Data de Saída]],"mmm")))</f>
        <v>Ago</v>
      </c>
      <c r="J264" s="21" t="str">
        <f>IF(Tabela1[[#This Row],[Data de Saída]]="","",PROPER(TEXT(Tabela1[[#This Row],[Data de Saída]],"aaaa")))</f>
        <v>2022</v>
      </c>
      <c r="K264" s="27" t="str">
        <f>IF(Tabela1[[#This Row],[Data Admissão]]="","",PROPER(TEXT(Tabela1[[#This Row],[Data Admissão]],"mmm")))</f>
        <v>Jul</v>
      </c>
      <c r="L264" s="21" t="str">
        <f>IF(Tabela1[[#This Row],[Data Admissão]]="","",PROPER(TEXT(Tabela1[[#This Row],[Data Admissão]],"aaaa")))</f>
        <v>2022</v>
      </c>
      <c r="M264" s="12" t="s">
        <v>602</v>
      </c>
      <c r="N264" s="22" t="str">
        <f>IFERROR(IF(Tabela1[[#This Row],[Data de Saída]]="","ATIVO","-"),"-")</f>
        <v>-</v>
      </c>
    </row>
    <row r="265" spans="5:14" ht="24.95" customHeight="1" x14ac:dyDescent="0.2">
      <c r="E265" s="26" t="s">
        <v>471</v>
      </c>
      <c r="F265" s="20">
        <v>27498</v>
      </c>
      <c r="G265" s="20">
        <v>44769</v>
      </c>
      <c r="H265" s="12"/>
      <c r="I265" s="21" t="str">
        <f>IF(Tabela1[[#This Row],[Data de Saída]]="","",PROPER(TEXT(Tabela1[[#This Row],[Data de Saída]],"mmm")))</f>
        <v/>
      </c>
      <c r="J265" s="21" t="str">
        <f>IF(Tabela1[[#This Row],[Data de Saída]]="","",PROPER(TEXT(Tabela1[[#This Row],[Data de Saída]],"aaaa")))</f>
        <v/>
      </c>
      <c r="K265" s="27" t="str">
        <f>IF(Tabela1[[#This Row],[Data Admissão]]="","",PROPER(TEXT(Tabela1[[#This Row],[Data Admissão]],"mmm")))</f>
        <v>Jul</v>
      </c>
      <c r="L265" s="21" t="str">
        <f>IF(Tabela1[[#This Row],[Data Admissão]]="","",PROPER(TEXT(Tabela1[[#This Row],[Data Admissão]],"aaaa")))</f>
        <v>2022</v>
      </c>
      <c r="M265" s="12" t="s">
        <v>594</v>
      </c>
      <c r="N265" s="22" t="str">
        <f>IFERROR(IF(Tabela1[[#This Row],[Data de Saída]]="","ATIVO","-"),"-")</f>
        <v>ATIVO</v>
      </c>
    </row>
    <row r="266" spans="5:14" ht="24.95" customHeight="1" x14ac:dyDescent="0.2">
      <c r="E266" s="26" t="s">
        <v>472</v>
      </c>
      <c r="F266" s="20">
        <v>36973</v>
      </c>
      <c r="G266" s="20">
        <v>44769</v>
      </c>
      <c r="H266" s="12" t="s">
        <v>131</v>
      </c>
      <c r="I266" s="21" t="str">
        <f>IF(Tabela1[[#This Row],[Data de Saída]]="","",PROPER(TEXT(Tabela1[[#This Row],[Data de Saída]],"mmm")))</f>
        <v>Out</v>
      </c>
      <c r="J266" s="21" t="str">
        <f>IF(Tabela1[[#This Row],[Data de Saída]]="","",PROPER(TEXT(Tabela1[[#This Row],[Data de Saída]],"aaaa")))</f>
        <v>2022</v>
      </c>
      <c r="K266" s="27" t="str">
        <f>IF(Tabela1[[#This Row],[Data Admissão]]="","",PROPER(TEXT(Tabela1[[#This Row],[Data Admissão]],"mmm")))</f>
        <v>Jul</v>
      </c>
      <c r="L266" s="21" t="str">
        <f>IF(Tabela1[[#This Row],[Data Admissão]]="","",PROPER(TEXT(Tabela1[[#This Row],[Data Admissão]],"aaaa")))</f>
        <v>2022</v>
      </c>
      <c r="M266" s="12" t="s">
        <v>594</v>
      </c>
      <c r="N266" s="22" t="str">
        <f>IFERROR(IF(Tabela1[[#This Row],[Data de Saída]]="","ATIVO","-"),"-")</f>
        <v>-</v>
      </c>
    </row>
    <row r="267" spans="5:14" ht="24.95" customHeight="1" x14ac:dyDescent="0.2">
      <c r="E267" s="26" t="s">
        <v>473</v>
      </c>
      <c r="F267" s="20">
        <v>34841</v>
      </c>
      <c r="G267" s="20">
        <v>44769</v>
      </c>
      <c r="H267" s="12" t="s">
        <v>133</v>
      </c>
      <c r="I267" s="21" t="str">
        <f>IF(Tabela1[[#This Row],[Data de Saída]]="","",PROPER(TEXT(Tabela1[[#This Row],[Data de Saída]],"mmm")))</f>
        <v>Nov</v>
      </c>
      <c r="J267" s="21" t="str">
        <f>IF(Tabela1[[#This Row],[Data de Saída]]="","",PROPER(TEXT(Tabela1[[#This Row],[Data de Saída]],"aaaa")))</f>
        <v>2022</v>
      </c>
      <c r="K267" s="27" t="str">
        <f>IF(Tabela1[[#This Row],[Data Admissão]]="","",PROPER(TEXT(Tabela1[[#This Row],[Data Admissão]],"mmm")))</f>
        <v>Jul</v>
      </c>
      <c r="L267" s="21" t="str">
        <f>IF(Tabela1[[#This Row],[Data Admissão]]="","",PROPER(TEXT(Tabela1[[#This Row],[Data Admissão]],"aaaa")))</f>
        <v>2022</v>
      </c>
      <c r="M267" s="12" t="s">
        <v>595</v>
      </c>
      <c r="N267" s="22" t="str">
        <f>IFERROR(IF(Tabela1[[#This Row],[Data de Saída]]="","ATIVO","-"),"-")</f>
        <v>-</v>
      </c>
    </row>
    <row r="268" spans="5:14" ht="24.95" customHeight="1" x14ac:dyDescent="0.2">
      <c r="E268" s="26" t="s">
        <v>474</v>
      </c>
      <c r="F268" s="20">
        <v>37492</v>
      </c>
      <c r="G268" s="20">
        <v>44774</v>
      </c>
      <c r="H268" s="12" t="s">
        <v>143</v>
      </c>
      <c r="I268" s="21" t="str">
        <f>IF(Tabela1[[#This Row],[Data de Saída]]="","",PROPER(TEXT(Tabela1[[#This Row],[Data de Saída]],"mmm")))</f>
        <v>Ago</v>
      </c>
      <c r="J268" s="21" t="str">
        <f>IF(Tabela1[[#This Row],[Data de Saída]]="","",PROPER(TEXT(Tabela1[[#This Row],[Data de Saída]],"aaaa")))</f>
        <v>2022</v>
      </c>
      <c r="K268" s="27" t="str">
        <f>IF(Tabela1[[#This Row],[Data Admissão]]="","",PROPER(TEXT(Tabela1[[#This Row],[Data Admissão]],"mmm")))</f>
        <v>Ago</v>
      </c>
      <c r="L268" s="21" t="str">
        <f>IF(Tabela1[[#This Row],[Data Admissão]]="","",PROPER(TEXT(Tabela1[[#This Row],[Data Admissão]],"aaaa")))</f>
        <v>2022</v>
      </c>
      <c r="M268" s="12" t="s">
        <v>596</v>
      </c>
      <c r="N268" s="22" t="str">
        <f>IFERROR(IF(Tabela1[[#This Row],[Data de Saída]]="","ATIVO","-"),"-")</f>
        <v>-</v>
      </c>
    </row>
    <row r="269" spans="5:14" ht="24.95" customHeight="1" x14ac:dyDescent="0.2">
      <c r="E269" s="26" t="s">
        <v>475</v>
      </c>
      <c r="F269" s="20">
        <v>35609</v>
      </c>
      <c r="G269" s="20">
        <v>44810</v>
      </c>
      <c r="H269" s="12"/>
      <c r="I269" s="21" t="str">
        <f>IF(Tabela1[[#This Row],[Data de Saída]]="","",PROPER(TEXT(Tabela1[[#This Row],[Data de Saída]],"mmm")))</f>
        <v/>
      </c>
      <c r="J269" s="21" t="str">
        <f>IF(Tabela1[[#This Row],[Data de Saída]]="","",PROPER(TEXT(Tabela1[[#This Row],[Data de Saída]],"aaaa")))</f>
        <v/>
      </c>
      <c r="K269" s="27" t="str">
        <f>IF(Tabela1[[#This Row],[Data Admissão]]="","",PROPER(TEXT(Tabela1[[#This Row],[Data Admissão]],"mmm")))</f>
        <v>Set</v>
      </c>
      <c r="L269" s="21" t="str">
        <f>IF(Tabela1[[#This Row],[Data Admissão]]="","",PROPER(TEXT(Tabela1[[#This Row],[Data Admissão]],"aaaa")))</f>
        <v>2022</v>
      </c>
      <c r="M269" s="12" t="s">
        <v>597</v>
      </c>
      <c r="N269" s="22" t="str">
        <f>IFERROR(IF(Tabela1[[#This Row],[Data de Saída]]="","ATIVO","-"),"-")</f>
        <v>ATIVO</v>
      </c>
    </row>
    <row r="270" spans="5:14" ht="24.95" customHeight="1" x14ac:dyDescent="0.2">
      <c r="E270" s="26" t="s">
        <v>476</v>
      </c>
      <c r="F270" s="20">
        <v>33416</v>
      </c>
      <c r="G270" s="20">
        <v>44813</v>
      </c>
      <c r="H270" s="12" t="s">
        <v>78</v>
      </c>
      <c r="I270" s="21" t="str">
        <f>IF(Tabela1[[#This Row],[Data de Saída]]="","",PROPER(TEXT(Tabela1[[#This Row],[Data de Saída]],"mmm")))</f>
        <v>Dez</v>
      </c>
      <c r="J270" s="21" t="str">
        <f>IF(Tabela1[[#This Row],[Data de Saída]]="","",PROPER(TEXT(Tabela1[[#This Row],[Data de Saída]],"aaaa")))</f>
        <v>2022</v>
      </c>
      <c r="K270" s="27" t="str">
        <f>IF(Tabela1[[#This Row],[Data Admissão]]="","",PROPER(TEXT(Tabela1[[#This Row],[Data Admissão]],"mmm")))</f>
        <v>Set</v>
      </c>
      <c r="L270" s="21" t="str">
        <f>IF(Tabela1[[#This Row],[Data Admissão]]="","",PROPER(TEXT(Tabela1[[#This Row],[Data Admissão]],"aaaa")))</f>
        <v>2022</v>
      </c>
      <c r="M270" s="12" t="s">
        <v>598</v>
      </c>
      <c r="N270" s="22" t="str">
        <f>IFERROR(IF(Tabela1[[#This Row],[Data de Saída]]="","ATIVO","-"),"-")</f>
        <v>-</v>
      </c>
    </row>
    <row r="271" spans="5:14" ht="24.95" customHeight="1" x14ac:dyDescent="0.2">
      <c r="E271" s="26" t="s">
        <v>477</v>
      </c>
      <c r="F271" s="20">
        <v>37586</v>
      </c>
      <c r="G271" s="20">
        <v>44813</v>
      </c>
      <c r="H271" s="12" t="s">
        <v>78</v>
      </c>
      <c r="I271" s="21" t="str">
        <f>IF(Tabela1[[#This Row],[Data de Saída]]="","",PROPER(TEXT(Tabela1[[#This Row],[Data de Saída]],"mmm")))</f>
        <v>Dez</v>
      </c>
      <c r="J271" s="21" t="str">
        <f>IF(Tabela1[[#This Row],[Data de Saída]]="","",PROPER(TEXT(Tabela1[[#This Row],[Data de Saída]],"aaaa")))</f>
        <v>2022</v>
      </c>
      <c r="K271" s="27" t="str">
        <f>IF(Tabela1[[#This Row],[Data Admissão]]="","",PROPER(TEXT(Tabela1[[#This Row],[Data Admissão]],"mmm")))</f>
        <v>Set</v>
      </c>
      <c r="L271" s="21" t="str">
        <f>IF(Tabela1[[#This Row],[Data Admissão]]="","",PROPER(TEXT(Tabela1[[#This Row],[Data Admissão]],"aaaa")))</f>
        <v>2022</v>
      </c>
      <c r="M271" s="12" t="s">
        <v>599</v>
      </c>
      <c r="N271" s="22" t="str">
        <f>IFERROR(IF(Tabela1[[#This Row],[Data de Saída]]="","ATIVO","-"),"-")</f>
        <v>-</v>
      </c>
    </row>
    <row r="272" spans="5:14" ht="24.95" customHeight="1" x14ac:dyDescent="0.2">
      <c r="E272" s="26" t="s">
        <v>478</v>
      </c>
      <c r="F272" s="20">
        <v>36601</v>
      </c>
      <c r="G272" s="20">
        <v>44813</v>
      </c>
      <c r="H272" s="12" t="s">
        <v>154</v>
      </c>
      <c r="I272" s="21" t="str">
        <f>IF(Tabela1[[#This Row],[Data de Saída]]="","",PROPER(TEXT(Tabela1[[#This Row],[Data de Saída]],"mmm")))</f>
        <v>Dez</v>
      </c>
      <c r="J272" s="21" t="str">
        <f>IF(Tabela1[[#This Row],[Data de Saída]]="","",PROPER(TEXT(Tabela1[[#This Row],[Data de Saída]],"aaaa")))</f>
        <v>2022</v>
      </c>
      <c r="K272" s="27" t="str">
        <f>IF(Tabela1[[#This Row],[Data Admissão]]="","",PROPER(TEXT(Tabela1[[#This Row],[Data Admissão]],"mmm")))</f>
        <v>Set</v>
      </c>
      <c r="L272" s="21" t="str">
        <f>IF(Tabela1[[#This Row],[Data Admissão]]="","",PROPER(TEXT(Tabela1[[#This Row],[Data Admissão]],"aaaa")))</f>
        <v>2022</v>
      </c>
      <c r="M272" s="12" t="s">
        <v>599</v>
      </c>
      <c r="N272" s="22" t="str">
        <f>IFERROR(IF(Tabela1[[#This Row],[Data de Saída]]="","ATIVO","-"),"-")</f>
        <v>-</v>
      </c>
    </row>
    <row r="273" spans="5:14" ht="24.95" customHeight="1" x14ac:dyDescent="0.2">
      <c r="E273" s="26" t="s">
        <v>479</v>
      </c>
      <c r="F273" s="20">
        <v>36520</v>
      </c>
      <c r="G273" s="20">
        <v>44813</v>
      </c>
      <c r="H273" s="12" t="s">
        <v>157</v>
      </c>
      <c r="I273" s="21" t="str">
        <f>IF(Tabela1[[#This Row],[Data de Saída]]="","",PROPER(TEXT(Tabela1[[#This Row],[Data de Saída]],"mmm")))</f>
        <v>Out</v>
      </c>
      <c r="J273" s="21" t="str">
        <f>IF(Tabela1[[#This Row],[Data de Saída]]="","",PROPER(TEXT(Tabela1[[#This Row],[Data de Saída]],"aaaa")))</f>
        <v>2022</v>
      </c>
      <c r="K273" s="27" t="str">
        <f>IF(Tabela1[[#This Row],[Data Admissão]]="","",PROPER(TEXT(Tabela1[[#This Row],[Data Admissão]],"mmm")))</f>
        <v>Set</v>
      </c>
      <c r="L273" s="21" t="str">
        <f>IF(Tabela1[[#This Row],[Data Admissão]]="","",PROPER(TEXT(Tabela1[[#This Row],[Data Admissão]],"aaaa")))</f>
        <v>2022</v>
      </c>
      <c r="M273" s="12" t="s">
        <v>599</v>
      </c>
      <c r="N273" s="22" t="str">
        <f>IFERROR(IF(Tabela1[[#This Row],[Data de Saída]]="","ATIVO","-"),"-")</f>
        <v>-</v>
      </c>
    </row>
    <row r="274" spans="5:14" ht="24.95" customHeight="1" x14ac:dyDescent="0.2">
      <c r="E274" s="26" t="s">
        <v>480</v>
      </c>
      <c r="F274" s="20">
        <v>32514</v>
      </c>
      <c r="G274" s="20">
        <v>44888</v>
      </c>
      <c r="H274" s="12" t="s">
        <v>4</v>
      </c>
      <c r="I274" s="21" t="str">
        <f>IF(Tabela1[[#This Row],[Data de Saída]]="","",PROPER(TEXT(Tabela1[[#This Row],[Data de Saída]],"mmm")))</f>
        <v>Mai</v>
      </c>
      <c r="J274" s="21" t="str">
        <f>IF(Tabela1[[#This Row],[Data de Saída]]="","",PROPER(TEXT(Tabela1[[#This Row],[Data de Saída]],"aaaa")))</f>
        <v>2023</v>
      </c>
      <c r="K274" s="27" t="str">
        <f>IF(Tabela1[[#This Row],[Data Admissão]]="","",PROPER(TEXT(Tabela1[[#This Row],[Data Admissão]],"mmm")))</f>
        <v>Nov</v>
      </c>
      <c r="L274" s="21" t="str">
        <f>IF(Tabela1[[#This Row],[Data Admissão]]="","",PROPER(TEXT(Tabela1[[#This Row],[Data Admissão]],"aaaa")))</f>
        <v>2022</v>
      </c>
      <c r="M274" s="12" t="s">
        <v>599</v>
      </c>
      <c r="N274" s="22" t="str">
        <f>IFERROR(IF(Tabela1[[#This Row],[Data de Saída]]="","ATIVO","-"),"-")</f>
        <v>-</v>
      </c>
    </row>
    <row r="275" spans="5:14" ht="24.95" customHeight="1" x14ac:dyDescent="0.2">
      <c r="E275" s="26" t="s">
        <v>481</v>
      </c>
      <c r="F275" s="20">
        <v>33152</v>
      </c>
      <c r="G275" s="20">
        <v>44888</v>
      </c>
      <c r="H275" s="12" t="s">
        <v>4</v>
      </c>
      <c r="I275" s="21" t="str">
        <f>IF(Tabela1[[#This Row],[Data de Saída]]="","",PROPER(TEXT(Tabela1[[#This Row],[Data de Saída]],"mmm")))</f>
        <v>Mai</v>
      </c>
      <c r="J275" s="21" t="str">
        <f>IF(Tabela1[[#This Row],[Data de Saída]]="","",PROPER(TEXT(Tabela1[[#This Row],[Data de Saída]],"aaaa")))</f>
        <v>2023</v>
      </c>
      <c r="K275" s="27" t="str">
        <f>IF(Tabela1[[#This Row],[Data Admissão]]="","",PROPER(TEXT(Tabela1[[#This Row],[Data Admissão]],"mmm")))</f>
        <v>Nov</v>
      </c>
      <c r="L275" s="21" t="str">
        <f>IF(Tabela1[[#This Row],[Data Admissão]]="","",PROPER(TEXT(Tabela1[[#This Row],[Data Admissão]],"aaaa")))</f>
        <v>2022</v>
      </c>
      <c r="M275" s="12" t="s">
        <v>600</v>
      </c>
      <c r="N275" s="22" t="str">
        <f>IFERROR(IF(Tabela1[[#This Row],[Data de Saída]]="","ATIVO","-"),"-")</f>
        <v>-</v>
      </c>
    </row>
    <row r="276" spans="5:14" ht="24.95" customHeight="1" x14ac:dyDescent="0.2">
      <c r="E276" s="26" t="s">
        <v>482</v>
      </c>
      <c r="F276" s="20">
        <v>35808</v>
      </c>
      <c r="G276" s="20">
        <v>44889</v>
      </c>
      <c r="H276" s="12" t="s">
        <v>36</v>
      </c>
      <c r="I276" s="21" t="str">
        <f>IF(Tabela1[[#This Row],[Data de Saída]]="","",PROPER(TEXT(Tabela1[[#This Row],[Data de Saída]],"mmm")))</f>
        <v>Dez</v>
      </c>
      <c r="J276" s="21" t="str">
        <f>IF(Tabela1[[#This Row],[Data de Saída]]="","",PROPER(TEXT(Tabela1[[#This Row],[Data de Saída]],"aaaa")))</f>
        <v>2022</v>
      </c>
      <c r="K276" s="27" t="str">
        <f>IF(Tabela1[[#This Row],[Data Admissão]]="","",PROPER(TEXT(Tabela1[[#This Row],[Data Admissão]],"mmm")))</f>
        <v>Nov</v>
      </c>
      <c r="L276" s="21" t="str">
        <f>IF(Tabela1[[#This Row],[Data Admissão]]="","",PROPER(TEXT(Tabela1[[#This Row],[Data Admissão]],"aaaa")))</f>
        <v>2022</v>
      </c>
      <c r="M276" s="12" t="s">
        <v>601</v>
      </c>
      <c r="N276" s="22" t="str">
        <f>IFERROR(IF(Tabela1[[#This Row],[Data de Saída]]="","ATIVO","-"),"-")</f>
        <v>-</v>
      </c>
    </row>
    <row r="277" spans="5:14" ht="24.95" customHeight="1" x14ac:dyDescent="0.2">
      <c r="E277" s="26" t="s">
        <v>483</v>
      </c>
      <c r="F277" s="20">
        <v>27897</v>
      </c>
      <c r="G277" s="20">
        <v>44889</v>
      </c>
      <c r="H277" s="12" t="s">
        <v>22</v>
      </c>
      <c r="I277" s="21" t="str">
        <f>IF(Tabela1[[#This Row],[Data de Saída]]="","",PROPER(TEXT(Tabela1[[#This Row],[Data de Saída]],"mmm")))</f>
        <v>Fev</v>
      </c>
      <c r="J277" s="21" t="str">
        <f>IF(Tabela1[[#This Row],[Data de Saída]]="","",PROPER(TEXT(Tabela1[[#This Row],[Data de Saída]],"aaaa")))</f>
        <v>2023</v>
      </c>
      <c r="K277" s="27" t="str">
        <f>IF(Tabela1[[#This Row],[Data Admissão]]="","",PROPER(TEXT(Tabela1[[#This Row],[Data Admissão]],"mmm")))</f>
        <v>Nov</v>
      </c>
      <c r="L277" s="21" t="str">
        <f>IF(Tabela1[[#This Row],[Data Admissão]]="","",PROPER(TEXT(Tabela1[[#This Row],[Data Admissão]],"aaaa")))</f>
        <v>2022</v>
      </c>
      <c r="M277" s="12" t="s">
        <v>602</v>
      </c>
      <c r="N277" s="22" t="str">
        <f>IFERROR(IF(Tabela1[[#This Row],[Data de Saída]]="","ATIVO","-"),"-")</f>
        <v>-</v>
      </c>
    </row>
    <row r="278" spans="5:14" ht="24.95" customHeight="1" x14ac:dyDescent="0.2">
      <c r="E278" s="26" t="s">
        <v>484</v>
      </c>
      <c r="F278" s="20">
        <v>36953</v>
      </c>
      <c r="G278" s="20">
        <v>44889</v>
      </c>
      <c r="H278" s="12" t="s">
        <v>22</v>
      </c>
      <c r="I278" s="21" t="str">
        <f>IF(Tabela1[[#This Row],[Data de Saída]]="","",PROPER(TEXT(Tabela1[[#This Row],[Data de Saída]],"mmm")))</f>
        <v>Fev</v>
      </c>
      <c r="J278" s="21" t="str">
        <f>IF(Tabela1[[#This Row],[Data de Saída]]="","",PROPER(TEXT(Tabela1[[#This Row],[Data de Saída]],"aaaa")))</f>
        <v>2023</v>
      </c>
      <c r="K278" s="27" t="str">
        <f>IF(Tabela1[[#This Row],[Data Admissão]]="","",PROPER(TEXT(Tabela1[[#This Row],[Data Admissão]],"mmm")))</f>
        <v>Nov</v>
      </c>
      <c r="L278" s="21" t="str">
        <f>IF(Tabela1[[#This Row],[Data Admissão]]="","",PROPER(TEXT(Tabela1[[#This Row],[Data Admissão]],"aaaa")))</f>
        <v>2022</v>
      </c>
      <c r="M278" s="12" t="s">
        <v>594</v>
      </c>
      <c r="N278" s="22" t="str">
        <f>IFERROR(IF(Tabela1[[#This Row],[Data de Saída]]="","ATIVO","-"),"-")</f>
        <v>-</v>
      </c>
    </row>
    <row r="279" spans="5:14" ht="24.95" customHeight="1" x14ac:dyDescent="0.2">
      <c r="E279" s="26" t="s">
        <v>485</v>
      </c>
      <c r="F279" s="20">
        <v>36000</v>
      </c>
      <c r="G279" s="20">
        <v>44889</v>
      </c>
      <c r="H279" s="12" t="s">
        <v>4</v>
      </c>
      <c r="I279" s="21" t="str">
        <f>IF(Tabela1[[#This Row],[Data de Saída]]="","",PROPER(TEXT(Tabela1[[#This Row],[Data de Saída]],"mmm")))</f>
        <v>Mai</v>
      </c>
      <c r="J279" s="21" t="str">
        <f>IF(Tabela1[[#This Row],[Data de Saída]]="","",PROPER(TEXT(Tabela1[[#This Row],[Data de Saída]],"aaaa")))</f>
        <v>2023</v>
      </c>
      <c r="K279" s="27" t="str">
        <f>IF(Tabela1[[#This Row],[Data Admissão]]="","",PROPER(TEXT(Tabela1[[#This Row],[Data Admissão]],"mmm")))</f>
        <v>Nov</v>
      </c>
      <c r="L279" s="21" t="str">
        <f>IF(Tabela1[[#This Row],[Data Admissão]]="","",PROPER(TEXT(Tabela1[[#This Row],[Data Admissão]],"aaaa")))</f>
        <v>2022</v>
      </c>
      <c r="M279" s="12" t="s">
        <v>594</v>
      </c>
      <c r="N279" s="22" t="str">
        <f>IFERROR(IF(Tabela1[[#This Row],[Data de Saída]]="","ATIVO","-"),"-")</f>
        <v>-</v>
      </c>
    </row>
    <row r="280" spans="5:14" ht="24.95" customHeight="1" x14ac:dyDescent="0.2">
      <c r="E280" s="26" t="s">
        <v>486</v>
      </c>
      <c r="F280" s="20">
        <v>31756</v>
      </c>
      <c r="G280" s="20">
        <v>44889</v>
      </c>
      <c r="H280" s="12" t="s">
        <v>4</v>
      </c>
      <c r="I280" s="21" t="str">
        <f>IF(Tabela1[[#This Row],[Data de Saída]]="","",PROPER(TEXT(Tabela1[[#This Row],[Data de Saída]],"mmm")))</f>
        <v>Mai</v>
      </c>
      <c r="J280" s="21" t="str">
        <f>IF(Tabela1[[#This Row],[Data de Saída]]="","",PROPER(TEXT(Tabela1[[#This Row],[Data de Saída]],"aaaa")))</f>
        <v>2023</v>
      </c>
      <c r="K280" s="27" t="str">
        <f>IF(Tabela1[[#This Row],[Data Admissão]]="","",PROPER(TEXT(Tabela1[[#This Row],[Data Admissão]],"mmm")))</f>
        <v>Nov</v>
      </c>
      <c r="L280" s="21" t="str">
        <f>IF(Tabela1[[#This Row],[Data Admissão]]="","",PROPER(TEXT(Tabela1[[#This Row],[Data Admissão]],"aaaa")))</f>
        <v>2022</v>
      </c>
      <c r="M280" s="12" t="s">
        <v>595</v>
      </c>
      <c r="N280" s="22" t="str">
        <f>IFERROR(IF(Tabela1[[#This Row],[Data de Saída]]="","ATIVO","-"),"-")</f>
        <v>-</v>
      </c>
    </row>
    <row r="281" spans="5:14" ht="24.95" customHeight="1" x14ac:dyDescent="0.2">
      <c r="E281" s="26" t="s">
        <v>487</v>
      </c>
      <c r="F281" s="20">
        <v>35971</v>
      </c>
      <c r="G281" s="20">
        <v>44889</v>
      </c>
      <c r="H281" s="12"/>
      <c r="I281" s="21" t="str">
        <f>IF(Tabela1[[#This Row],[Data de Saída]]="","",PROPER(TEXT(Tabela1[[#This Row],[Data de Saída]],"mmm")))</f>
        <v/>
      </c>
      <c r="J281" s="21" t="str">
        <f>IF(Tabela1[[#This Row],[Data de Saída]]="","",PROPER(TEXT(Tabela1[[#This Row],[Data de Saída]],"aaaa")))</f>
        <v/>
      </c>
      <c r="K281" s="27" t="str">
        <f>IF(Tabela1[[#This Row],[Data Admissão]]="","",PROPER(TEXT(Tabela1[[#This Row],[Data Admissão]],"mmm")))</f>
        <v>Nov</v>
      </c>
      <c r="L281" s="21" t="str">
        <f>IF(Tabela1[[#This Row],[Data Admissão]]="","",PROPER(TEXT(Tabela1[[#This Row],[Data Admissão]],"aaaa")))</f>
        <v>2022</v>
      </c>
      <c r="M281" s="12" t="s">
        <v>596</v>
      </c>
      <c r="N281" s="22" t="str">
        <f>IFERROR(IF(Tabela1[[#This Row],[Data de Saída]]="","ATIVO","-"),"-")</f>
        <v>ATIVO</v>
      </c>
    </row>
    <row r="282" spans="5:14" ht="24.95" customHeight="1" x14ac:dyDescent="0.2">
      <c r="E282" s="26" t="s">
        <v>488</v>
      </c>
      <c r="F282" s="20">
        <v>35531</v>
      </c>
      <c r="G282" s="20">
        <v>44889</v>
      </c>
      <c r="H282" s="12" t="s">
        <v>138</v>
      </c>
      <c r="I282" s="21" t="str">
        <f>IF(Tabela1[[#This Row],[Data de Saída]]="","",PROPER(TEXT(Tabela1[[#This Row],[Data de Saída]],"mmm")))</f>
        <v>Dez</v>
      </c>
      <c r="J282" s="21" t="str">
        <f>IF(Tabela1[[#This Row],[Data de Saída]]="","",PROPER(TEXT(Tabela1[[#This Row],[Data de Saída]],"aaaa")))</f>
        <v>2022</v>
      </c>
      <c r="K282" s="27" t="str">
        <f>IF(Tabela1[[#This Row],[Data Admissão]]="","",PROPER(TEXT(Tabela1[[#This Row],[Data Admissão]],"mmm")))</f>
        <v>Nov</v>
      </c>
      <c r="L282" s="21" t="str">
        <f>IF(Tabela1[[#This Row],[Data Admissão]]="","",PROPER(TEXT(Tabela1[[#This Row],[Data Admissão]],"aaaa")))</f>
        <v>2022</v>
      </c>
      <c r="M282" s="12" t="s">
        <v>597</v>
      </c>
      <c r="N282" s="22" t="str">
        <f>IFERROR(IF(Tabela1[[#This Row],[Data de Saída]]="","ATIVO","-"),"-")</f>
        <v>-</v>
      </c>
    </row>
    <row r="283" spans="5:14" ht="24.95" customHeight="1" x14ac:dyDescent="0.2">
      <c r="E283" s="26" t="s">
        <v>489</v>
      </c>
      <c r="F283" s="20">
        <v>27976</v>
      </c>
      <c r="G283" s="20">
        <v>44889</v>
      </c>
      <c r="H283" s="12" t="s">
        <v>158</v>
      </c>
      <c r="I283" s="21" t="str">
        <f>IF(Tabela1[[#This Row],[Data de Saída]]="","",PROPER(TEXT(Tabela1[[#This Row],[Data de Saída]],"mmm")))</f>
        <v>Dez</v>
      </c>
      <c r="J283" s="21" t="str">
        <f>IF(Tabela1[[#This Row],[Data de Saída]]="","",PROPER(TEXT(Tabela1[[#This Row],[Data de Saída]],"aaaa")))</f>
        <v>2022</v>
      </c>
      <c r="K283" s="27" t="str">
        <f>IF(Tabela1[[#This Row],[Data Admissão]]="","",PROPER(TEXT(Tabela1[[#This Row],[Data Admissão]],"mmm")))</f>
        <v>Nov</v>
      </c>
      <c r="L283" s="21" t="str">
        <f>IF(Tabela1[[#This Row],[Data Admissão]]="","",PROPER(TEXT(Tabela1[[#This Row],[Data Admissão]],"aaaa")))</f>
        <v>2022</v>
      </c>
      <c r="M283" s="12" t="s">
        <v>598</v>
      </c>
      <c r="N283" s="22" t="str">
        <f>IFERROR(IF(Tabela1[[#This Row],[Data de Saída]]="","ATIVO","-"),"-")</f>
        <v>-</v>
      </c>
    </row>
    <row r="284" spans="5:14" ht="24.95" customHeight="1" x14ac:dyDescent="0.2">
      <c r="E284" s="26" t="s">
        <v>490</v>
      </c>
      <c r="F284" s="20">
        <v>36992</v>
      </c>
      <c r="G284" s="20">
        <v>44889</v>
      </c>
      <c r="H284" s="12" t="s">
        <v>23</v>
      </c>
      <c r="I284" s="21" t="str">
        <f>IF(Tabela1[[#This Row],[Data de Saída]]="","",PROPER(TEXT(Tabela1[[#This Row],[Data de Saída]],"mmm")))</f>
        <v>Abr</v>
      </c>
      <c r="J284" s="21" t="str">
        <f>IF(Tabela1[[#This Row],[Data de Saída]]="","",PROPER(TEXT(Tabela1[[#This Row],[Data de Saída]],"aaaa")))</f>
        <v>2023</v>
      </c>
      <c r="K284" s="27" t="str">
        <f>IF(Tabela1[[#This Row],[Data Admissão]]="","",PROPER(TEXT(Tabela1[[#This Row],[Data Admissão]],"mmm")))</f>
        <v>Nov</v>
      </c>
      <c r="L284" s="21" t="str">
        <f>IF(Tabela1[[#This Row],[Data Admissão]]="","",PROPER(TEXT(Tabela1[[#This Row],[Data Admissão]],"aaaa")))</f>
        <v>2022</v>
      </c>
      <c r="M284" s="12" t="s">
        <v>599</v>
      </c>
      <c r="N284" s="22" t="str">
        <f>IFERROR(IF(Tabela1[[#This Row],[Data de Saída]]="","ATIVO","-"),"-")</f>
        <v>-</v>
      </c>
    </row>
    <row r="285" spans="5:14" ht="24.95" customHeight="1" x14ac:dyDescent="0.2">
      <c r="E285" s="26" t="s">
        <v>491</v>
      </c>
      <c r="F285" s="20">
        <v>37112</v>
      </c>
      <c r="G285" s="20">
        <v>44889</v>
      </c>
      <c r="H285" s="12" t="s">
        <v>172</v>
      </c>
      <c r="I285" s="21" t="str">
        <f>IF(Tabela1[[#This Row],[Data de Saída]]="","",PROPER(TEXT(Tabela1[[#This Row],[Data de Saída]],"mmm")))</f>
        <v>Dez</v>
      </c>
      <c r="J285" s="21" t="str">
        <f>IF(Tabela1[[#This Row],[Data de Saída]]="","",PROPER(TEXT(Tabela1[[#This Row],[Data de Saída]],"aaaa")))</f>
        <v>2022</v>
      </c>
      <c r="K285" s="27" t="str">
        <f>IF(Tabela1[[#This Row],[Data Admissão]]="","",PROPER(TEXT(Tabela1[[#This Row],[Data Admissão]],"mmm")))</f>
        <v>Nov</v>
      </c>
      <c r="L285" s="21" t="str">
        <f>IF(Tabela1[[#This Row],[Data Admissão]]="","",PROPER(TEXT(Tabela1[[#This Row],[Data Admissão]],"aaaa")))</f>
        <v>2022</v>
      </c>
      <c r="M285" s="12" t="s">
        <v>599</v>
      </c>
      <c r="N285" s="22" t="str">
        <f>IFERROR(IF(Tabela1[[#This Row],[Data de Saída]]="","ATIVO","-"),"-")</f>
        <v>-</v>
      </c>
    </row>
    <row r="286" spans="5:14" ht="24.95" customHeight="1" x14ac:dyDescent="0.2">
      <c r="E286" s="26" t="s">
        <v>492</v>
      </c>
      <c r="F286" s="20">
        <v>30827</v>
      </c>
      <c r="G286" s="20">
        <v>44890</v>
      </c>
      <c r="H286" s="12"/>
      <c r="I286" s="21" t="str">
        <f>IF(Tabela1[[#This Row],[Data de Saída]]="","",PROPER(TEXT(Tabela1[[#This Row],[Data de Saída]],"mmm")))</f>
        <v/>
      </c>
      <c r="J286" s="21" t="str">
        <f>IF(Tabela1[[#This Row],[Data de Saída]]="","",PROPER(TEXT(Tabela1[[#This Row],[Data de Saída]],"aaaa")))</f>
        <v/>
      </c>
      <c r="K286" s="27" t="str">
        <f>IF(Tabela1[[#This Row],[Data Admissão]]="","",PROPER(TEXT(Tabela1[[#This Row],[Data Admissão]],"mmm")))</f>
        <v>Nov</v>
      </c>
      <c r="L286" s="21" t="str">
        <f>IF(Tabela1[[#This Row],[Data Admissão]]="","",PROPER(TEXT(Tabela1[[#This Row],[Data Admissão]],"aaaa")))</f>
        <v>2022</v>
      </c>
      <c r="M286" s="12" t="s">
        <v>599</v>
      </c>
      <c r="N286" s="22" t="str">
        <f>IFERROR(IF(Tabela1[[#This Row],[Data de Saída]]="","ATIVO","-"),"-")</f>
        <v>ATIVO</v>
      </c>
    </row>
    <row r="287" spans="5:14" ht="24.95" customHeight="1" x14ac:dyDescent="0.2">
      <c r="E287" s="26" t="s">
        <v>493</v>
      </c>
      <c r="F287" s="20">
        <v>32912</v>
      </c>
      <c r="G287" s="20">
        <v>44890</v>
      </c>
      <c r="H287" s="12" t="s">
        <v>4</v>
      </c>
      <c r="I287" s="21" t="str">
        <f>IF(Tabela1[[#This Row],[Data de Saída]]="","",PROPER(TEXT(Tabela1[[#This Row],[Data de Saída]],"mmm")))</f>
        <v>Mai</v>
      </c>
      <c r="J287" s="21" t="str">
        <f>IF(Tabela1[[#This Row],[Data de Saída]]="","",PROPER(TEXT(Tabela1[[#This Row],[Data de Saída]],"aaaa")))</f>
        <v>2023</v>
      </c>
      <c r="K287" s="27" t="str">
        <f>IF(Tabela1[[#This Row],[Data Admissão]]="","",PROPER(TEXT(Tabela1[[#This Row],[Data Admissão]],"mmm")))</f>
        <v>Nov</v>
      </c>
      <c r="L287" s="21" t="str">
        <f>IF(Tabela1[[#This Row],[Data Admissão]]="","",PROPER(TEXT(Tabela1[[#This Row],[Data Admissão]],"aaaa")))</f>
        <v>2022</v>
      </c>
      <c r="M287" s="12" t="s">
        <v>599</v>
      </c>
      <c r="N287" s="22" t="str">
        <f>IFERROR(IF(Tabela1[[#This Row],[Data de Saída]]="","ATIVO","-"),"-")</f>
        <v>-</v>
      </c>
    </row>
    <row r="288" spans="5:14" ht="24.95" customHeight="1" x14ac:dyDescent="0.2">
      <c r="E288" s="26" t="s">
        <v>494</v>
      </c>
      <c r="F288" s="20">
        <v>33150</v>
      </c>
      <c r="G288" s="20">
        <v>44893</v>
      </c>
      <c r="H288" s="12" t="s">
        <v>46</v>
      </c>
      <c r="I288" s="21" t="str">
        <f>IF(Tabela1[[#This Row],[Data de Saída]]="","",PROPER(TEXT(Tabela1[[#This Row],[Data de Saída]],"mmm")))</f>
        <v>Dez</v>
      </c>
      <c r="J288" s="21" t="str">
        <f>IF(Tabela1[[#This Row],[Data de Saída]]="","",PROPER(TEXT(Tabela1[[#This Row],[Data de Saída]],"aaaa")))</f>
        <v>2022</v>
      </c>
      <c r="K288" s="27" t="str">
        <f>IF(Tabela1[[#This Row],[Data Admissão]]="","",PROPER(TEXT(Tabela1[[#This Row],[Data Admissão]],"mmm")))</f>
        <v>Nov</v>
      </c>
      <c r="L288" s="21" t="str">
        <f>IF(Tabela1[[#This Row],[Data Admissão]]="","",PROPER(TEXT(Tabela1[[#This Row],[Data Admissão]],"aaaa")))</f>
        <v>2022</v>
      </c>
      <c r="M288" s="12" t="s">
        <v>600</v>
      </c>
      <c r="N288" s="22" t="str">
        <f>IFERROR(IF(Tabela1[[#This Row],[Data de Saída]]="","ATIVO","-"),"-")</f>
        <v>-</v>
      </c>
    </row>
    <row r="289" spans="5:14" ht="24.95" customHeight="1" x14ac:dyDescent="0.2">
      <c r="E289" s="26" t="s">
        <v>495</v>
      </c>
      <c r="F289" s="20">
        <v>37754</v>
      </c>
      <c r="G289" s="20">
        <v>44893</v>
      </c>
      <c r="H289" s="12" t="s">
        <v>70</v>
      </c>
      <c r="I289" s="21" t="str">
        <f>IF(Tabela1[[#This Row],[Data de Saída]]="","",PROPER(TEXT(Tabela1[[#This Row],[Data de Saída]],"mmm")))</f>
        <v>Dez</v>
      </c>
      <c r="J289" s="21" t="str">
        <f>IF(Tabela1[[#This Row],[Data de Saída]]="","",PROPER(TEXT(Tabela1[[#This Row],[Data de Saída]],"aaaa")))</f>
        <v>2022</v>
      </c>
      <c r="K289" s="27" t="str">
        <f>IF(Tabela1[[#This Row],[Data Admissão]]="","",PROPER(TEXT(Tabela1[[#This Row],[Data Admissão]],"mmm")))</f>
        <v>Nov</v>
      </c>
      <c r="L289" s="21" t="str">
        <f>IF(Tabela1[[#This Row],[Data Admissão]]="","",PROPER(TEXT(Tabela1[[#This Row],[Data Admissão]],"aaaa")))</f>
        <v>2022</v>
      </c>
      <c r="M289" s="12" t="s">
        <v>601</v>
      </c>
      <c r="N289" s="22" t="str">
        <f>IFERROR(IF(Tabela1[[#This Row],[Data de Saída]]="","ATIVO","-"),"-")</f>
        <v>-</v>
      </c>
    </row>
    <row r="290" spans="5:14" ht="24.95" customHeight="1" x14ac:dyDescent="0.2">
      <c r="E290" s="26" t="s">
        <v>496</v>
      </c>
      <c r="F290" s="20">
        <v>30951</v>
      </c>
      <c r="G290" s="20">
        <v>44893</v>
      </c>
      <c r="H290" s="12" t="s">
        <v>161</v>
      </c>
      <c r="I290" s="21" t="str">
        <f>IF(Tabela1[[#This Row],[Data de Saída]]="","",PROPER(TEXT(Tabela1[[#This Row],[Data de Saída]],"mmm")))</f>
        <v>Abr</v>
      </c>
      <c r="J290" s="21" t="str">
        <f>IF(Tabela1[[#This Row],[Data de Saída]]="","",PROPER(TEXT(Tabela1[[#This Row],[Data de Saída]],"aaaa")))</f>
        <v>2023</v>
      </c>
      <c r="K290" s="27" t="str">
        <f>IF(Tabela1[[#This Row],[Data Admissão]]="","",PROPER(TEXT(Tabela1[[#This Row],[Data Admissão]],"mmm")))</f>
        <v>Nov</v>
      </c>
      <c r="L290" s="21" t="str">
        <f>IF(Tabela1[[#This Row],[Data Admissão]]="","",PROPER(TEXT(Tabela1[[#This Row],[Data Admissão]],"aaaa")))</f>
        <v>2022</v>
      </c>
      <c r="M290" s="12" t="s">
        <v>602</v>
      </c>
      <c r="N290" s="22" t="str">
        <f>IFERROR(IF(Tabela1[[#This Row],[Data de Saída]]="","ATIVO","-"),"-")</f>
        <v>-</v>
      </c>
    </row>
    <row r="291" spans="5:14" ht="24.95" customHeight="1" x14ac:dyDescent="0.2">
      <c r="E291" s="26" t="s">
        <v>497</v>
      </c>
      <c r="F291" s="20">
        <v>31182</v>
      </c>
      <c r="G291" s="20">
        <v>44936</v>
      </c>
      <c r="H291" s="12" t="s">
        <v>4</v>
      </c>
      <c r="I291" s="21" t="str">
        <f>IF(Tabela1[[#This Row],[Data de Saída]]="","",PROPER(TEXT(Tabela1[[#This Row],[Data de Saída]],"mmm")))</f>
        <v>Mai</v>
      </c>
      <c r="J291" s="21" t="str">
        <f>IF(Tabela1[[#This Row],[Data de Saída]]="","",PROPER(TEXT(Tabela1[[#This Row],[Data de Saída]],"aaaa")))</f>
        <v>2023</v>
      </c>
      <c r="K291" s="27" t="str">
        <f>IF(Tabela1[[#This Row],[Data Admissão]]="","",PROPER(TEXT(Tabela1[[#This Row],[Data Admissão]],"mmm")))</f>
        <v>Jan</v>
      </c>
      <c r="L291" s="21" t="str">
        <f>IF(Tabela1[[#This Row],[Data Admissão]]="","",PROPER(TEXT(Tabela1[[#This Row],[Data Admissão]],"aaaa")))</f>
        <v>2023</v>
      </c>
      <c r="M291" s="12" t="s">
        <v>594</v>
      </c>
      <c r="N291" s="22" t="str">
        <f>IFERROR(IF(Tabela1[[#This Row],[Data de Saída]]="","ATIVO","-"),"-")</f>
        <v>-</v>
      </c>
    </row>
    <row r="292" spans="5:14" ht="24.95" customHeight="1" x14ac:dyDescent="0.2">
      <c r="E292" s="26" t="s">
        <v>498</v>
      </c>
      <c r="F292" s="20">
        <v>38160</v>
      </c>
      <c r="G292" s="20">
        <v>44936</v>
      </c>
      <c r="H292" s="12" t="s">
        <v>22</v>
      </c>
      <c r="I292" s="21" t="str">
        <f>IF(Tabela1[[#This Row],[Data de Saída]]="","",PROPER(TEXT(Tabela1[[#This Row],[Data de Saída]],"mmm")))</f>
        <v>Fev</v>
      </c>
      <c r="J292" s="21" t="str">
        <f>IF(Tabela1[[#This Row],[Data de Saída]]="","",PROPER(TEXT(Tabela1[[#This Row],[Data de Saída]],"aaaa")))</f>
        <v>2023</v>
      </c>
      <c r="K292" s="27" t="str">
        <f>IF(Tabela1[[#This Row],[Data Admissão]]="","",PROPER(TEXT(Tabela1[[#This Row],[Data Admissão]],"mmm")))</f>
        <v>Jan</v>
      </c>
      <c r="L292" s="21" t="str">
        <f>IF(Tabela1[[#This Row],[Data Admissão]]="","",PROPER(TEXT(Tabela1[[#This Row],[Data Admissão]],"aaaa")))</f>
        <v>2023</v>
      </c>
      <c r="M292" s="12" t="s">
        <v>594</v>
      </c>
      <c r="N292" s="22" t="str">
        <f>IFERROR(IF(Tabela1[[#This Row],[Data de Saída]]="","ATIVO","-"),"-")</f>
        <v>-</v>
      </c>
    </row>
    <row r="293" spans="5:14" ht="24.95" customHeight="1" x14ac:dyDescent="0.2">
      <c r="E293" s="26" t="s">
        <v>499</v>
      </c>
      <c r="F293" s="20">
        <v>34058</v>
      </c>
      <c r="G293" s="20">
        <v>44936</v>
      </c>
      <c r="H293" s="12" t="s">
        <v>47</v>
      </c>
      <c r="I293" s="21" t="str">
        <f>IF(Tabela1[[#This Row],[Data de Saída]]="","",PROPER(TEXT(Tabela1[[#This Row],[Data de Saída]],"mmm")))</f>
        <v>Ago</v>
      </c>
      <c r="J293" s="21" t="str">
        <f>IF(Tabela1[[#This Row],[Data de Saída]]="","",PROPER(TEXT(Tabela1[[#This Row],[Data de Saída]],"aaaa")))</f>
        <v>2023</v>
      </c>
      <c r="K293" s="27" t="str">
        <f>IF(Tabela1[[#This Row],[Data Admissão]]="","",PROPER(TEXT(Tabela1[[#This Row],[Data Admissão]],"mmm")))</f>
        <v>Jan</v>
      </c>
      <c r="L293" s="21" t="str">
        <f>IF(Tabela1[[#This Row],[Data Admissão]]="","",PROPER(TEXT(Tabela1[[#This Row],[Data Admissão]],"aaaa")))</f>
        <v>2023</v>
      </c>
      <c r="M293" s="12" t="s">
        <v>595</v>
      </c>
      <c r="N293" s="22" t="str">
        <f>IFERROR(IF(Tabela1[[#This Row],[Data de Saída]]="","ATIVO","-"),"-")</f>
        <v>-</v>
      </c>
    </row>
    <row r="294" spans="5:14" ht="24.95" customHeight="1" x14ac:dyDescent="0.2">
      <c r="E294" s="26" t="s">
        <v>500</v>
      </c>
      <c r="F294" s="20">
        <v>31930</v>
      </c>
      <c r="G294" s="20">
        <v>44936</v>
      </c>
      <c r="H294" s="12" t="s">
        <v>4</v>
      </c>
      <c r="I294" s="21" t="str">
        <f>IF(Tabela1[[#This Row],[Data de Saída]]="","",PROPER(TEXT(Tabela1[[#This Row],[Data de Saída]],"mmm")))</f>
        <v>Mai</v>
      </c>
      <c r="J294" s="21" t="str">
        <f>IF(Tabela1[[#This Row],[Data de Saída]]="","",PROPER(TEXT(Tabela1[[#This Row],[Data de Saída]],"aaaa")))</f>
        <v>2023</v>
      </c>
      <c r="K294" s="27" t="str">
        <f>IF(Tabela1[[#This Row],[Data Admissão]]="","",PROPER(TEXT(Tabela1[[#This Row],[Data Admissão]],"mmm")))</f>
        <v>Jan</v>
      </c>
      <c r="L294" s="21" t="str">
        <f>IF(Tabela1[[#This Row],[Data Admissão]]="","",PROPER(TEXT(Tabela1[[#This Row],[Data Admissão]],"aaaa")))</f>
        <v>2023</v>
      </c>
      <c r="M294" s="12" t="s">
        <v>596</v>
      </c>
      <c r="N294" s="22" t="str">
        <f>IFERROR(IF(Tabela1[[#This Row],[Data de Saída]]="","ATIVO","-"),"-")</f>
        <v>-</v>
      </c>
    </row>
    <row r="295" spans="5:14" ht="24.95" customHeight="1" x14ac:dyDescent="0.2">
      <c r="E295" s="26" t="s">
        <v>501</v>
      </c>
      <c r="F295" s="20">
        <v>33910</v>
      </c>
      <c r="G295" s="20">
        <v>44936</v>
      </c>
      <c r="H295" s="12" t="s">
        <v>4</v>
      </c>
      <c r="I295" s="21" t="str">
        <f>IF(Tabela1[[#This Row],[Data de Saída]]="","",PROPER(TEXT(Tabela1[[#This Row],[Data de Saída]],"mmm")))</f>
        <v>Mai</v>
      </c>
      <c r="J295" s="21" t="str">
        <f>IF(Tabela1[[#This Row],[Data de Saída]]="","",PROPER(TEXT(Tabela1[[#This Row],[Data de Saída]],"aaaa")))</f>
        <v>2023</v>
      </c>
      <c r="K295" s="27" t="str">
        <f>IF(Tabela1[[#This Row],[Data Admissão]]="","",PROPER(TEXT(Tabela1[[#This Row],[Data Admissão]],"mmm")))</f>
        <v>Jan</v>
      </c>
      <c r="L295" s="21" t="str">
        <f>IF(Tabela1[[#This Row],[Data Admissão]]="","",PROPER(TEXT(Tabela1[[#This Row],[Data Admissão]],"aaaa")))</f>
        <v>2023</v>
      </c>
      <c r="M295" s="12" t="s">
        <v>597</v>
      </c>
      <c r="N295" s="22" t="str">
        <f>IFERROR(IF(Tabela1[[#This Row],[Data de Saída]]="","ATIVO","-"),"-")</f>
        <v>-</v>
      </c>
    </row>
    <row r="296" spans="5:14" ht="24.95" customHeight="1" x14ac:dyDescent="0.2">
      <c r="E296" s="26" t="s">
        <v>502</v>
      </c>
      <c r="F296" s="20">
        <v>38160</v>
      </c>
      <c r="G296" s="20">
        <v>44936</v>
      </c>
      <c r="H296" s="12" t="s">
        <v>74</v>
      </c>
      <c r="I296" s="21" t="str">
        <f>IF(Tabela1[[#This Row],[Data de Saída]]="","",PROPER(TEXT(Tabela1[[#This Row],[Data de Saída]],"mmm")))</f>
        <v>Fev</v>
      </c>
      <c r="J296" s="21" t="str">
        <f>IF(Tabela1[[#This Row],[Data de Saída]]="","",PROPER(TEXT(Tabela1[[#This Row],[Data de Saída]],"aaaa")))</f>
        <v>2023</v>
      </c>
      <c r="K296" s="27" t="str">
        <f>IF(Tabela1[[#This Row],[Data Admissão]]="","",PROPER(TEXT(Tabela1[[#This Row],[Data Admissão]],"mmm")))</f>
        <v>Jan</v>
      </c>
      <c r="L296" s="21" t="str">
        <f>IF(Tabela1[[#This Row],[Data Admissão]]="","",PROPER(TEXT(Tabela1[[#This Row],[Data Admissão]],"aaaa")))</f>
        <v>2023</v>
      </c>
      <c r="M296" s="12" t="s">
        <v>598</v>
      </c>
      <c r="N296" s="22" t="str">
        <f>IFERROR(IF(Tabela1[[#This Row],[Data de Saída]]="","ATIVO","-"),"-")</f>
        <v>-</v>
      </c>
    </row>
    <row r="297" spans="5:14" ht="24.95" customHeight="1" x14ac:dyDescent="0.2">
      <c r="E297" s="26" t="s">
        <v>503</v>
      </c>
      <c r="F297" s="20">
        <v>22547</v>
      </c>
      <c r="G297" s="20">
        <v>44936</v>
      </c>
      <c r="H297" s="12" t="s">
        <v>94</v>
      </c>
      <c r="I297" s="21" t="str">
        <f>IF(Tabela1[[#This Row],[Data de Saída]]="","",PROPER(TEXT(Tabela1[[#This Row],[Data de Saída]],"mmm")))</f>
        <v>Mai</v>
      </c>
      <c r="J297" s="21" t="str">
        <f>IF(Tabela1[[#This Row],[Data de Saída]]="","",PROPER(TEXT(Tabela1[[#This Row],[Data de Saída]],"aaaa")))</f>
        <v>2023</v>
      </c>
      <c r="K297" s="27" t="str">
        <f>IF(Tabela1[[#This Row],[Data Admissão]]="","",PROPER(TEXT(Tabela1[[#This Row],[Data Admissão]],"mmm")))</f>
        <v>Jan</v>
      </c>
      <c r="L297" s="21" t="str">
        <f>IF(Tabela1[[#This Row],[Data Admissão]]="","",PROPER(TEXT(Tabela1[[#This Row],[Data Admissão]],"aaaa")))</f>
        <v>2023</v>
      </c>
      <c r="M297" s="12" t="s">
        <v>599</v>
      </c>
      <c r="N297" s="22" t="str">
        <f>IFERROR(IF(Tabela1[[#This Row],[Data de Saída]]="","ATIVO","-"),"-")</f>
        <v>-</v>
      </c>
    </row>
    <row r="298" spans="5:14" ht="24.95" customHeight="1" x14ac:dyDescent="0.2">
      <c r="E298" s="26" t="s">
        <v>504</v>
      </c>
      <c r="F298" s="20">
        <v>34775</v>
      </c>
      <c r="G298" s="20">
        <v>44936</v>
      </c>
      <c r="H298" s="12" t="s">
        <v>107</v>
      </c>
      <c r="I298" s="21" t="str">
        <f>IF(Tabela1[[#This Row],[Data de Saída]]="","",PROPER(TEXT(Tabela1[[#This Row],[Data de Saída]],"mmm")))</f>
        <v>Jan</v>
      </c>
      <c r="J298" s="21" t="str">
        <f>IF(Tabela1[[#This Row],[Data de Saída]]="","",PROPER(TEXT(Tabela1[[#This Row],[Data de Saída]],"aaaa")))</f>
        <v>2024</v>
      </c>
      <c r="K298" s="27" t="str">
        <f>IF(Tabela1[[#This Row],[Data Admissão]]="","",PROPER(TEXT(Tabela1[[#This Row],[Data Admissão]],"mmm")))</f>
        <v>Jan</v>
      </c>
      <c r="L298" s="21" t="str">
        <f>IF(Tabela1[[#This Row],[Data Admissão]]="","",PROPER(TEXT(Tabela1[[#This Row],[Data Admissão]],"aaaa")))</f>
        <v>2023</v>
      </c>
      <c r="M298" s="12" t="s">
        <v>599</v>
      </c>
      <c r="N298" s="22" t="str">
        <f>IFERROR(IF(Tabela1[[#This Row],[Data de Saída]]="","ATIVO","-"),"-")</f>
        <v>-</v>
      </c>
    </row>
    <row r="299" spans="5:14" ht="24.95" customHeight="1" x14ac:dyDescent="0.2">
      <c r="E299" s="26" t="s">
        <v>505</v>
      </c>
      <c r="F299" s="20">
        <v>38225</v>
      </c>
      <c r="G299" s="20">
        <v>44936</v>
      </c>
      <c r="H299" s="12" t="s">
        <v>4</v>
      </c>
      <c r="I299" s="21" t="str">
        <f>IF(Tabela1[[#This Row],[Data de Saída]]="","",PROPER(TEXT(Tabela1[[#This Row],[Data de Saída]],"mmm")))</f>
        <v>Mai</v>
      </c>
      <c r="J299" s="21" t="str">
        <f>IF(Tabela1[[#This Row],[Data de Saída]]="","",PROPER(TEXT(Tabela1[[#This Row],[Data de Saída]],"aaaa")))</f>
        <v>2023</v>
      </c>
      <c r="K299" s="27" t="str">
        <f>IF(Tabela1[[#This Row],[Data Admissão]]="","",PROPER(TEXT(Tabela1[[#This Row],[Data Admissão]],"mmm")))</f>
        <v>Jan</v>
      </c>
      <c r="L299" s="21" t="str">
        <f>IF(Tabela1[[#This Row],[Data Admissão]]="","",PROPER(TEXT(Tabela1[[#This Row],[Data Admissão]],"aaaa")))</f>
        <v>2023</v>
      </c>
      <c r="M299" s="12" t="s">
        <v>599</v>
      </c>
      <c r="N299" s="22" t="str">
        <f>IFERROR(IF(Tabela1[[#This Row],[Data de Saída]]="","ATIVO","-"),"-")</f>
        <v>-</v>
      </c>
    </row>
    <row r="300" spans="5:14" ht="24.95" customHeight="1" x14ac:dyDescent="0.2">
      <c r="E300" s="26" t="s">
        <v>506</v>
      </c>
      <c r="F300" s="20">
        <v>32612</v>
      </c>
      <c r="G300" s="20">
        <v>44936</v>
      </c>
      <c r="H300" s="12" t="s">
        <v>4</v>
      </c>
      <c r="I300" s="21" t="str">
        <f>IF(Tabela1[[#This Row],[Data de Saída]]="","",PROPER(TEXT(Tabela1[[#This Row],[Data de Saída]],"mmm")))</f>
        <v>Mai</v>
      </c>
      <c r="J300" s="21" t="str">
        <f>IF(Tabela1[[#This Row],[Data de Saída]]="","",PROPER(TEXT(Tabela1[[#This Row],[Data de Saída]],"aaaa")))</f>
        <v>2023</v>
      </c>
      <c r="K300" s="27" t="str">
        <f>IF(Tabela1[[#This Row],[Data Admissão]]="","",PROPER(TEXT(Tabela1[[#This Row],[Data Admissão]],"mmm")))</f>
        <v>Jan</v>
      </c>
      <c r="L300" s="21" t="str">
        <f>IF(Tabela1[[#This Row],[Data Admissão]]="","",PROPER(TEXT(Tabela1[[#This Row],[Data Admissão]],"aaaa")))</f>
        <v>2023</v>
      </c>
      <c r="M300" s="12" t="s">
        <v>599</v>
      </c>
      <c r="N300" s="22" t="str">
        <f>IFERROR(IF(Tabela1[[#This Row],[Data de Saída]]="","ATIVO","-"),"-")</f>
        <v>-</v>
      </c>
    </row>
    <row r="301" spans="5:14" ht="24.95" customHeight="1" x14ac:dyDescent="0.2">
      <c r="E301" s="26" t="s">
        <v>507</v>
      </c>
      <c r="F301" s="20">
        <v>35361</v>
      </c>
      <c r="G301" s="20">
        <v>44936</v>
      </c>
      <c r="H301" s="12" t="s">
        <v>122</v>
      </c>
      <c r="I301" s="21" t="str">
        <f>IF(Tabela1[[#This Row],[Data de Saída]]="","",PROPER(TEXT(Tabela1[[#This Row],[Data de Saída]],"mmm")))</f>
        <v>Fev</v>
      </c>
      <c r="J301" s="21" t="str">
        <f>IF(Tabela1[[#This Row],[Data de Saída]]="","",PROPER(TEXT(Tabela1[[#This Row],[Data de Saída]],"aaaa")))</f>
        <v>2023</v>
      </c>
      <c r="K301" s="27" t="str">
        <f>IF(Tabela1[[#This Row],[Data Admissão]]="","",PROPER(TEXT(Tabela1[[#This Row],[Data Admissão]],"mmm")))</f>
        <v>Jan</v>
      </c>
      <c r="L301" s="21" t="str">
        <f>IF(Tabela1[[#This Row],[Data Admissão]]="","",PROPER(TEXT(Tabela1[[#This Row],[Data Admissão]],"aaaa")))</f>
        <v>2023</v>
      </c>
      <c r="M301" s="12" t="s">
        <v>600</v>
      </c>
      <c r="N301" s="22" t="str">
        <f>IFERROR(IF(Tabela1[[#This Row],[Data de Saída]]="","ATIVO","-"),"-")</f>
        <v>-</v>
      </c>
    </row>
    <row r="302" spans="5:14" ht="24.95" customHeight="1" x14ac:dyDescent="0.2">
      <c r="E302" s="26" t="s">
        <v>508</v>
      </c>
      <c r="F302" s="20">
        <v>27540</v>
      </c>
      <c r="G302" s="20">
        <v>44958</v>
      </c>
      <c r="H302" s="12"/>
      <c r="I302" s="21" t="str">
        <f>IF(Tabela1[[#This Row],[Data de Saída]]="","",PROPER(TEXT(Tabela1[[#This Row],[Data de Saída]],"mmm")))</f>
        <v/>
      </c>
      <c r="J302" s="21" t="str">
        <f>IF(Tabela1[[#This Row],[Data de Saída]]="","",PROPER(TEXT(Tabela1[[#This Row],[Data de Saída]],"aaaa")))</f>
        <v/>
      </c>
      <c r="K302" s="27" t="str">
        <f>IF(Tabela1[[#This Row],[Data Admissão]]="","",PROPER(TEXT(Tabela1[[#This Row],[Data Admissão]],"mmm")))</f>
        <v>Fev</v>
      </c>
      <c r="L302" s="21" t="str">
        <f>IF(Tabela1[[#This Row],[Data Admissão]]="","",PROPER(TEXT(Tabela1[[#This Row],[Data Admissão]],"aaaa")))</f>
        <v>2023</v>
      </c>
      <c r="M302" s="12" t="s">
        <v>601</v>
      </c>
      <c r="N302" s="22" t="str">
        <f>IFERROR(IF(Tabela1[[#This Row],[Data de Saída]]="","ATIVO","-"),"-")</f>
        <v>ATIVO</v>
      </c>
    </row>
    <row r="303" spans="5:14" ht="24.95" customHeight="1" x14ac:dyDescent="0.2">
      <c r="E303" s="26" t="s">
        <v>509</v>
      </c>
      <c r="F303" s="20">
        <v>34691</v>
      </c>
      <c r="G303" s="20">
        <v>44964</v>
      </c>
      <c r="H303" s="12" t="s">
        <v>23</v>
      </c>
      <c r="I303" s="21" t="str">
        <f>IF(Tabela1[[#This Row],[Data de Saída]]="","",PROPER(TEXT(Tabela1[[#This Row],[Data de Saída]],"mmm")))</f>
        <v>Abr</v>
      </c>
      <c r="J303" s="21" t="str">
        <f>IF(Tabela1[[#This Row],[Data de Saída]]="","",PROPER(TEXT(Tabela1[[#This Row],[Data de Saída]],"aaaa")))</f>
        <v>2023</v>
      </c>
      <c r="K303" s="27" t="str">
        <f>IF(Tabela1[[#This Row],[Data Admissão]]="","",PROPER(TEXT(Tabela1[[#This Row],[Data Admissão]],"mmm")))</f>
        <v>Fev</v>
      </c>
      <c r="L303" s="21" t="str">
        <f>IF(Tabela1[[#This Row],[Data Admissão]]="","",PROPER(TEXT(Tabela1[[#This Row],[Data Admissão]],"aaaa")))</f>
        <v>2023</v>
      </c>
      <c r="M303" s="12" t="s">
        <v>602</v>
      </c>
      <c r="N303" s="22" t="str">
        <f>IFERROR(IF(Tabela1[[#This Row],[Data de Saída]]="","ATIVO","-"),"-")</f>
        <v>-</v>
      </c>
    </row>
    <row r="304" spans="5:14" ht="24.95" customHeight="1" x14ac:dyDescent="0.2">
      <c r="E304" s="26" t="s">
        <v>510</v>
      </c>
      <c r="F304" s="20">
        <v>35433</v>
      </c>
      <c r="G304" s="20">
        <v>44964</v>
      </c>
      <c r="H304" s="12" t="s">
        <v>4</v>
      </c>
      <c r="I304" s="21" t="str">
        <f>IF(Tabela1[[#This Row],[Data de Saída]]="","",PROPER(TEXT(Tabela1[[#This Row],[Data de Saída]],"mmm")))</f>
        <v>Mai</v>
      </c>
      <c r="J304" s="21" t="str">
        <f>IF(Tabela1[[#This Row],[Data de Saída]]="","",PROPER(TEXT(Tabela1[[#This Row],[Data de Saída]],"aaaa")))</f>
        <v>2023</v>
      </c>
      <c r="K304" s="27" t="str">
        <f>IF(Tabela1[[#This Row],[Data Admissão]]="","",PROPER(TEXT(Tabela1[[#This Row],[Data Admissão]],"mmm")))</f>
        <v>Fev</v>
      </c>
      <c r="L304" s="21" t="str">
        <f>IF(Tabela1[[#This Row],[Data Admissão]]="","",PROPER(TEXT(Tabela1[[#This Row],[Data Admissão]],"aaaa")))</f>
        <v>2023</v>
      </c>
      <c r="M304" s="12" t="s">
        <v>594</v>
      </c>
      <c r="N304" s="22" t="str">
        <f>IFERROR(IF(Tabela1[[#This Row],[Data de Saída]]="","ATIVO","-"),"-")</f>
        <v>-</v>
      </c>
    </row>
    <row r="305" spans="5:14" ht="24.95" customHeight="1" x14ac:dyDescent="0.2">
      <c r="E305" s="26" t="s">
        <v>511</v>
      </c>
      <c r="F305" s="20">
        <v>36287</v>
      </c>
      <c r="G305" s="20">
        <v>44964</v>
      </c>
      <c r="H305" s="12" t="s">
        <v>170</v>
      </c>
      <c r="I305" s="21" t="str">
        <f>IF(Tabela1[[#This Row],[Data de Saída]]="","",PROPER(TEXT(Tabela1[[#This Row],[Data de Saída]],"mmm")))</f>
        <v>Mar</v>
      </c>
      <c r="J305" s="21" t="str">
        <f>IF(Tabela1[[#This Row],[Data de Saída]]="","",PROPER(TEXT(Tabela1[[#This Row],[Data de Saída]],"aaaa")))</f>
        <v>2023</v>
      </c>
      <c r="K305" s="27" t="str">
        <f>IF(Tabela1[[#This Row],[Data Admissão]]="","",PROPER(TEXT(Tabela1[[#This Row],[Data Admissão]],"mmm")))</f>
        <v>Fev</v>
      </c>
      <c r="L305" s="21" t="str">
        <f>IF(Tabela1[[#This Row],[Data Admissão]]="","",PROPER(TEXT(Tabela1[[#This Row],[Data Admissão]],"aaaa")))</f>
        <v>2023</v>
      </c>
      <c r="M305" s="12" t="s">
        <v>594</v>
      </c>
      <c r="N305" s="22" t="str">
        <f>IFERROR(IF(Tabela1[[#This Row],[Data de Saída]]="","ATIVO","-"),"-")</f>
        <v>-</v>
      </c>
    </row>
    <row r="306" spans="5:14" ht="24.95" customHeight="1" x14ac:dyDescent="0.2">
      <c r="E306" s="26" t="s">
        <v>512</v>
      </c>
      <c r="F306" s="20">
        <v>23960</v>
      </c>
      <c r="G306" s="20">
        <v>44966</v>
      </c>
      <c r="H306" s="12" t="s">
        <v>4</v>
      </c>
      <c r="I306" s="21" t="str">
        <f>IF(Tabela1[[#This Row],[Data de Saída]]="","",PROPER(TEXT(Tabela1[[#This Row],[Data de Saída]],"mmm")))</f>
        <v>Mai</v>
      </c>
      <c r="J306" s="21" t="str">
        <f>IF(Tabela1[[#This Row],[Data de Saída]]="","",PROPER(TEXT(Tabela1[[#This Row],[Data de Saída]],"aaaa")))</f>
        <v>2023</v>
      </c>
      <c r="K306" s="27" t="str">
        <f>IF(Tabela1[[#This Row],[Data Admissão]]="","",PROPER(TEXT(Tabela1[[#This Row],[Data Admissão]],"mmm")))</f>
        <v>Fev</v>
      </c>
      <c r="L306" s="21" t="str">
        <f>IF(Tabela1[[#This Row],[Data Admissão]]="","",PROPER(TEXT(Tabela1[[#This Row],[Data Admissão]],"aaaa")))</f>
        <v>2023</v>
      </c>
      <c r="M306" s="12" t="s">
        <v>595</v>
      </c>
      <c r="N306" s="22" t="str">
        <f>IFERROR(IF(Tabela1[[#This Row],[Data de Saída]]="","ATIVO","-"),"-")</f>
        <v>-</v>
      </c>
    </row>
    <row r="307" spans="5:14" ht="24.95" customHeight="1" x14ac:dyDescent="0.2">
      <c r="E307" s="26" t="s">
        <v>513</v>
      </c>
      <c r="F307" s="20">
        <v>36913</v>
      </c>
      <c r="G307" s="20">
        <v>44966</v>
      </c>
      <c r="H307" s="12" t="s">
        <v>134</v>
      </c>
      <c r="I307" s="21" t="str">
        <f>IF(Tabela1[[#This Row],[Data de Saída]]="","",PROPER(TEXT(Tabela1[[#This Row],[Data de Saída]],"mmm")))</f>
        <v>Mar</v>
      </c>
      <c r="J307" s="21" t="str">
        <f>IF(Tabela1[[#This Row],[Data de Saída]]="","",PROPER(TEXT(Tabela1[[#This Row],[Data de Saída]],"aaaa")))</f>
        <v>2023</v>
      </c>
      <c r="K307" s="27" t="str">
        <f>IF(Tabela1[[#This Row],[Data Admissão]]="","",PROPER(TEXT(Tabela1[[#This Row],[Data Admissão]],"mmm")))</f>
        <v>Fev</v>
      </c>
      <c r="L307" s="21" t="str">
        <f>IF(Tabela1[[#This Row],[Data Admissão]]="","",PROPER(TEXT(Tabela1[[#This Row],[Data Admissão]],"aaaa")))</f>
        <v>2023</v>
      </c>
      <c r="M307" s="12" t="s">
        <v>596</v>
      </c>
      <c r="N307" s="22" t="str">
        <f>IFERROR(IF(Tabela1[[#This Row],[Data de Saída]]="","ATIVO","-"),"-")</f>
        <v>-</v>
      </c>
    </row>
    <row r="308" spans="5:14" ht="24.95" customHeight="1" x14ac:dyDescent="0.2">
      <c r="E308" s="26" t="s">
        <v>514</v>
      </c>
      <c r="F308" s="20">
        <v>38141</v>
      </c>
      <c r="G308" s="20">
        <v>44978</v>
      </c>
      <c r="H308" s="12"/>
      <c r="I308" s="21" t="str">
        <f>IF(Tabela1[[#This Row],[Data de Saída]]="","",PROPER(TEXT(Tabela1[[#This Row],[Data de Saída]],"mmm")))</f>
        <v/>
      </c>
      <c r="J308" s="21" t="str">
        <f>IF(Tabela1[[#This Row],[Data de Saída]]="","",PROPER(TEXT(Tabela1[[#This Row],[Data de Saída]],"aaaa")))</f>
        <v/>
      </c>
      <c r="K308" s="27" t="str">
        <f>IF(Tabela1[[#This Row],[Data Admissão]]="","",PROPER(TEXT(Tabela1[[#This Row],[Data Admissão]],"mmm")))</f>
        <v>Fev</v>
      </c>
      <c r="L308" s="21" t="str">
        <f>IF(Tabela1[[#This Row],[Data Admissão]]="","",PROPER(TEXT(Tabela1[[#This Row],[Data Admissão]],"aaaa")))</f>
        <v>2023</v>
      </c>
      <c r="M308" s="12" t="s">
        <v>597</v>
      </c>
      <c r="N308" s="22" t="str">
        <f>IFERROR(IF(Tabela1[[#This Row],[Data de Saída]]="","ATIVO","-"),"-")</f>
        <v>ATIVO</v>
      </c>
    </row>
    <row r="309" spans="5:14" ht="24.95" customHeight="1" x14ac:dyDescent="0.2">
      <c r="E309" s="26" t="s">
        <v>515</v>
      </c>
      <c r="F309" s="20">
        <v>35914</v>
      </c>
      <c r="G309" s="20">
        <v>44986</v>
      </c>
      <c r="H309" s="12"/>
      <c r="I309" s="21" t="str">
        <f>IF(Tabela1[[#This Row],[Data de Saída]]="","",PROPER(TEXT(Tabela1[[#This Row],[Data de Saída]],"mmm")))</f>
        <v/>
      </c>
      <c r="J309" s="21" t="str">
        <f>IF(Tabela1[[#This Row],[Data de Saída]]="","",PROPER(TEXT(Tabela1[[#This Row],[Data de Saída]],"aaaa")))</f>
        <v/>
      </c>
      <c r="K309" s="27" t="str">
        <f>IF(Tabela1[[#This Row],[Data Admissão]]="","",PROPER(TEXT(Tabela1[[#This Row],[Data Admissão]],"mmm")))</f>
        <v>Mar</v>
      </c>
      <c r="L309" s="21" t="str">
        <f>IF(Tabela1[[#This Row],[Data Admissão]]="","",PROPER(TEXT(Tabela1[[#This Row],[Data Admissão]],"aaaa")))</f>
        <v>2023</v>
      </c>
      <c r="M309" s="12" t="s">
        <v>598</v>
      </c>
      <c r="N309" s="22" t="str">
        <f>IFERROR(IF(Tabela1[[#This Row],[Data de Saída]]="","ATIVO","-"),"-")</f>
        <v>ATIVO</v>
      </c>
    </row>
    <row r="310" spans="5:14" ht="24.95" customHeight="1" x14ac:dyDescent="0.2">
      <c r="E310" s="26" t="s">
        <v>516</v>
      </c>
      <c r="F310" s="20">
        <v>37812</v>
      </c>
      <c r="G310" s="20">
        <v>44986</v>
      </c>
      <c r="H310" s="12"/>
      <c r="I310" s="21" t="str">
        <f>IF(Tabela1[[#This Row],[Data de Saída]]="","",PROPER(TEXT(Tabela1[[#This Row],[Data de Saída]],"mmm")))</f>
        <v/>
      </c>
      <c r="J310" s="21" t="str">
        <f>IF(Tabela1[[#This Row],[Data de Saída]]="","",PROPER(TEXT(Tabela1[[#This Row],[Data de Saída]],"aaaa")))</f>
        <v/>
      </c>
      <c r="K310" s="27" t="str">
        <f>IF(Tabela1[[#This Row],[Data Admissão]]="","",PROPER(TEXT(Tabela1[[#This Row],[Data Admissão]],"mmm")))</f>
        <v>Mar</v>
      </c>
      <c r="L310" s="21" t="str">
        <f>IF(Tabela1[[#This Row],[Data Admissão]]="","",PROPER(TEXT(Tabela1[[#This Row],[Data Admissão]],"aaaa")))</f>
        <v>2023</v>
      </c>
      <c r="M310" s="12" t="s">
        <v>599</v>
      </c>
      <c r="N310" s="22" t="str">
        <f>IFERROR(IF(Tabela1[[#This Row],[Data de Saída]]="","ATIVO","-"),"-")</f>
        <v>ATIVO</v>
      </c>
    </row>
    <row r="311" spans="5:14" ht="24.95" customHeight="1" x14ac:dyDescent="0.2">
      <c r="E311" s="26" t="s">
        <v>517</v>
      </c>
      <c r="F311" s="20">
        <v>34389</v>
      </c>
      <c r="G311" s="20">
        <v>44986</v>
      </c>
      <c r="H311" s="12" t="s">
        <v>57</v>
      </c>
      <c r="I311" s="21" t="str">
        <f>IF(Tabela1[[#This Row],[Data de Saída]]="","",PROPER(TEXT(Tabela1[[#This Row],[Data de Saída]],"mmm")))</f>
        <v>Mai</v>
      </c>
      <c r="J311" s="21" t="str">
        <f>IF(Tabela1[[#This Row],[Data de Saída]]="","",PROPER(TEXT(Tabela1[[#This Row],[Data de Saída]],"aaaa")))</f>
        <v>2023</v>
      </c>
      <c r="K311" s="27" t="str">
        <f>IF(Tabela1[[#This Row],[Data Admissão]]="","",PROPER(TEXT(Tabela1[[#This Row],[Data Admissão]],"mmm")))</f>
        <v>Mar</v>
      </c>
      <c r="L311" s="21" t="str">
        <f>IF(Tabela1[[#This Row],[Data Admissão]]="","",PROPER(TEXT(Tabela1[[#This Row],[Data Admissão]],"aaaa")))</f>
        <v>2023</v>
      </c>
      <c r="M311" s="12" t="s">
        <v>599</v>
      </c>
      <c r="N311" s="22" t="str">
        <f>IFERROR(IF(Tabela1[[#This Row],[Data de Saída]]="","ATIVO","-"),"-")</f>
        <v>-</v>
      </c>
    </row>
    <row r="312" spans="5:14" ht="24.95" customHeight="1" x14ac:dyDescent="0.2">
      <c r="E312" s="26" t="s">
        <v>518</v>
      </c>
      <c r="F312" s="20">
        <v>36116</v>
      </c>
      <c r="G312" s="20">
        <v>44986</v>
      </c>
      <c r="H312" s="12" t="s">
        <v>61</v>
      </c>
      <c r="I312" s="21" t="str">
        <f>IF(Tabela1[[#This Row],[Data de Saída]]="","",PROPER(TEXT(Tabela1[[#This Row],[Data de Saída]],"mmm")))</f>
        <v>Set</v>
      </c>
      <c r="J312" s="21" t="str">
        <f>IF(Tabela1[[#This Row],[Data de Saída]]="","",PROPER(TEXT(Tabela1[[#This Row],[Data de Saída]],"aaaa")))</f>
        <v>2023</v>
      </c>
      <c r="K312" s="27" t="str">
        <f>IF(Tabela1[[#This Row],[Data Admissão]]="","",PROPER(TEXT(Tabela1[[#This Row],[Data Admissão]],"mmm")))</f>
        <v>Mar</v>
      </c>
      <c r="L312" s="21" t="str">
        <f>IF(Tabela1[[#This Row],[Data Admissão]]="","",PROPER(TEXT(Tabela1[[#This Row],[Data Admissão]],"aaaa")))</f>
        <v>2023</v>
      </c>
      <c r="M312" s="12" t="s">
        <v>599</v>
      </c>
      <c r="N312" s="22" t="str">
        <f>IFERROR(IF(Tabela1[[#This Row],[Data de Saída]]="","ATIVO","-"),"-")</f>
        <v>-</v>
      </c>
    </row>
    <row r="313" spans="5:14" ht="24.95" customHeight="1" x14ac:dyDescent="0.2">
      <c r="E313" s="26" t="s">
        <v>519</v>
      </c>
      <c r="F313" s="20">
        <v>37101</v>
      </c>
      <c r="G313" s="20">
        <v>44987</v>
      </c>
      <c r="H313" s="12" t="s">
        <v>19</v>
      </c>
      <c r="I313" s="21" t="str">
        <f>IF(Tabela1[[#This Row],[Data de Saída]]="","",PROPER(TEXT(Tabela1[[#This Row],[Data de Saída]],"mmm")))</f>
        <v>Dez</v>
      </c>
      <c r="J313" s="21" t="str">
        <f>IF(Tabela1[[#This Row],[Data de Saída]]="","",PROPER(TEXT(Tabela1[[#This Row],[Data de Saída]],"aaaa")))</f>
        <v>2023</v>
      </c>
      <c r="K313" s="27" t="str">
        <f>IF(Tabela1[[#This Row],[Data Admissão]]="","",PROPER(TEXT(Tabela1[[#This Row],[Data Admissão]],"mmm")))</f>
        <v>Mar</v>
      </c>
      <c r="L313" s="21" t="str">
        <f>IF(Tabela1[[#This Row],[Data Admissão]]="","",PROPER(TEXT(Tabela1[[#This Row],[Data Admissão]],"aaaa")))</f>
        <v>2023</v>
      </c>
      <c r="M313" s="12" t="s">
        <v>599</v>
      </c>
      <c r="N313" s="22" t="str">
        <f>IFERROR(IF(Tabela1[[#This Row],[Data de Saída]]="","ATIVO","-"),"-")</f>
        <v>-</v>
      </c>
    </row>
    <row r="314" spans="5:14" ht="24.95" customHeight="1" x14ac:dyDescent="0.2">
      <c r="E314" s="26" t="s">
        <v>520</v>
      </c>
      <c r="F314" s="20">
        <v>34924</v>
      </c>
      <c r="G314" s="20">
        <v>44987</v>
      </c>
      <c r="H314" s="12" t="s">
        <v>24</v>
      </c>
      <c r="I314" s="21" t="str">
        <f>IF(Tabela1[[#This Row],[Data de Saída]]="","",PROPER(TEXT(Tabela1[[#This Row],[Data de Saída]],"mmm")))</f>
        <v>Abr</v>
      </c>
      <c r="J314" s="21" t="str">
        <f>IF(Tabela1[[#This Row],[Data de Saída]]="","",PROPER(TEXT(Tabela1[[#This Row],[Data de Saída]],"aaaa")))</f>
        <v>2023</v>
      </c>
      <c r="K314" s="27" t="str">
        <f>IF(Tabela1[[#This Row],[Data Admissão]]="","",PROPER(TEXT(Tabela1[[#This Row],[Data Admissão]],"mmm")))</f>
        <v>Mar</v>
      </c>
      <c r="L314" s="21" t="str">
        <f>IF(Tabela1[[#This Row],[Data Admissão]]="","",PROPER(TEXT(Tabela1[[#This Row],[Data Admissão]],"aaaa")))</f>
        <v>2023</v>
      </c>
      <c r="M314" s="12" t="s">
        <v>600</v>
      </c>
      <c r="N314" s="22" t="str">
        <f>IFERROR(IF(Tabela1[[#This Row],[Data de Saída]]="","ATIVO","-"),"-")</f>
        <v>-</v>
      </c>
    </row>
    <row r="315" spans="5:14" ht="24.95" customHeight="1" x14ac:dyDescent="0.2">
      <c r="E315" s="26" t="s">
        <v>521</v>
      </c>
      <c r="F315" s="20">
        <v>34921</v>
      </c>
      <c r="G315" s="20">
        <v>44998</v>
      </c>
      <c r="H315" s="12"/>
      <c r="I315" s="21" t="str">
        <f>IF(Tabela1[[#This Row],[Data de Saída]]="","",PROPER(TEXT(Tabela1[[#This Row],[Data de Saída]],"mmm")))</f>
        <v/>
      </c>
      <c r="J315" s="21" t="str">
        <f>IF(Tabela1[[#This Row],[Data de Saída]]="","",PROPER(TEXT(Tabela1[[#This Row],[Data de Saída]],"aaaa")))</f>
        <v/>
      </c>
      <c r="K315" s="27" t="str">
        <f>IF(Tabela1[[#This Row],[Data Admissão]]="","",PROPER(TEXT(Tabela1[[#This Row],[Data Admissão]],"mmm")))</f>
        <v>Mar</v>
      </c>
      <c r="L315" s="21" t="str">
        <f>IF(Tabela1[[#This Row],[Data Admissão]]="","",PROPER(TEXT(Tabela1[[#This Row],[Data Admissão]],"aaaa")))</f>
        <v>2023</v>
      </c>
      <c r="M315" s="12" t="s">
        <v>601</v>
      </c>
      <c r="N315" s="22" t="str">
        <f>IFERROR(IF(Tabela1[[#This Row],[Data de Saída]]="","ATIVO","-"),"-")</f>
        <v>ATIVO</v>
      </c>
    </row>
    <row r="316" spans="5:14" ht="24.95" customHeight="1" x14ac:dyDescent="0.2">
      <c r="E316" s="26" t="s">
        <v>522</v>
      </c>
      <c r="F316" s="20">
        <v>33115</v>
      </c>
      <c r="G316" s="20">
        <v>45000</v>
      </c>
      <c r="H316" s="12"/>
      <c r="I316" s="21" t="str">
        <f>IF(Tabela1[[#This Row],[Data de Saída]]="","",PROPER(TEXT(Tabela1[[#This Row],[Data de Saída]],"mmm")))</f>
        <v/>
      </c>
      <c r="J316" s="21" t="str">
        <f>IF(Tabela1[[#This Row],[Data de Saída]]="","",PROPER(TEXT(Tabela1[[#This Row],[Data de Saída]],"aaaa")))</f>
        <v/>
      </c>
      <c r="K316" s="27" t="str">
        <f>IF(Tabela1[[#This Row],[Data Admissão]]="","",PROPER(TEXT(Tabela1[[#This Row],[Data Admissão]],"mmm")))</f>
        <v>Mar</v>
      </c>
      <c r="L316" s="21" t="str">
        <f>IF(Tabela1[[#This Row],[Data Admissão]]="","",PROPER(TEXT(Tabela1[[#This Row],[Data Admissão]],"aaaa")))</f>
        <v>2023</v>
      </c>
      <c r="M316" s="12" t="s">
        <v>602</v>
      </c>
      <c r="N316" s="22" t="str">
        <f>IFERROR(IF(Tabela1[[#This Row],[Data de Saída]]="","ATIVO","-"),"-")</f>
        <v>ATIVO</v>
      </c>
    </row>
    <row r="317" spans="5:14" ht="24.95" customHeight="1" x14ac:dyDescent="0.2">
      <c r="E317" s="26" t="s">
        <v>523</v>
      </c>
      <c r="F317" s="20">
        <v>37849</v>
      </c>
      <c r="G317" s="20">
        <v>45005</v>
      </c>
      <c r="H317" s="12" t="s">
        <v>23</v>
      </c>
      <c r="I317" s="21" t="str">
        <f>IF(Tabela1[[#This Row],[Data de Saída]]="","",PROPER(TEXT(Tabela1[[#This Row],[Data de Saída]],"mmm")))</f>
        <v>Abr</v>
      </c>
      <c r="J317" s="21" t="str">
        <f>IF(Tabela1[[#This Row],[Data de Saída]]="","",PROPER(TEXT(Tabela1[[#This Row],[Data de Saída]],"aaaa")))</f>
        <v>2023</v>
      </c>
      <c r="K317" s="27" t="str">
        <f>IF(Tabela1[[#This Row],[Data Admissão]]="","",PROPER(TEXT(Tabela1[[#This Row],[Data Admissão]],"mmm")))</f>
        <v>Mar</v>
      </c>
      <c r="L317" s="21" t="str">
        <f>IF(Tabela1[[#This Row],[Data Admissão]]="","",PROPER(TEXT(Tabela1[[#This Row],[Data Admissão]],"aaaa")))</f>
        <v>2023</v>
      </c>
      <c r="M317" s="12" t="s">
        <v>594</v>
      </c>
      <c r="N317" s="22" t="str">
        <f>IFERROR(IF(Tabela1[[#This Row],[Data de Saída]]="","ATIVO","-"),"-")</f>
        <v>-</v>
      </c>
    </row>
    <row r="318" spans="5:14" ht="24.95" customHeight="1" x14ac:dyDescent="0.2">
      <c r="E318" s="26" t="s">
        <v>524</v>
      </c>
      <c r="F318" s="20">
        <v>36150</v>
      </c>
      <c r="G318" s="20">
        <v>45013</v>
      </c>
      <c r="H318" s="12"/>
      <c r="I318" s="21" t="str">
        <f>IF(Tabela1[[#This Row],[Data de Saída]]="","",PROPER(TEXT(Tabela1[[#This Row],[Data de Saída]],"mmm")))</f>
        <v/>
      </c>
      <c r="J318" s="21" t="str">
        <f>IF(Tabela1[[#This Row],[Data de Saída]]="","",PROPER(TEXT(Tabela1[[#This Row],[Data de Saída]],"aaaa")))</f>
        <v/>
      </c>
      <c r="K318" s="27" t="str">
        <f>IF(Tabela1[[#This Row],[Data Admissão]]="","",PROPER(TEXT(Tabela1[[#This Row],[Data Admissão]],"mmm")))</f>
        <v>Mar</v>
      </c>
      <c r="L318" s="21" t="str">
        <f>IF(Tabela1[[#This Row],[Data Admissão]]="","",PROPER(TEXT(Tabela1[[#This Row],[Data Admissão]],"aaaa")))</f>
        <v>2023</v>
      </c>
      <c r="M318" s="12" t="s">
        <v>594</v>
      </c>
      <c r="N318" s="22" t="str">
        <f>IFERROR(IF(Tabela1[[#This Row],[Data de Saída]]="","ATIVO","-"),"-")</f>
        <v>ATIVO</v>
      </c>
    </row>
    <row r="319" spans="5:14" ht="24.95" customHeight="1" x14ac:dyDescent="0.2">
      <c r="E319" s="26" t="s">
        <v>525</v>
      </c>
      <c r="F319" s="20">
        <v>32543</v>
      </c>
      <c r="G319" s="20">
        <v>45040</v>
      </c>
      <c r="H319" s="12"/>
      <c r="I319" s="21" t="str">
        <f>IF(Tabela1[[#This Row],[Data de Saída]]="","",PROPER(TEXT(Tabela1[[#This Row],[Data de Saída]],"mmm")))</f>
        <v/>
      </c>
      <c r="J319" s="21" t="str">
        <f>IF(Tabela1[[#This Row],[Data de Saída]]="","",PROPER(TEXT(Tabela1[[#This Row],[Data de Saída]],"aaaa")))</f>
        <v/>
      </c>
      <c r="K319" s="27" t="str">
        <f>IF(Tabela1[[#This Row],[Data Admissão]]="","",PROPER(TEXT(Tabela1[[#This Row],[Data Admissão]],"mmm")))</f>
        <v>Abr</v>
      </c>
      <c r="L319" s="21" t="str">
        <f>IF(Tabela1[[#This Row],[Data Admissão]]="","",PROPER(TEXT(Tabela1[[#This Row],[Data Admissão]],"aaaa")))</f>
        <v>2023</v>
      </c>
      <c r="M319" s="12" t="s">
        <v>595</v>
      </c>
      <c r="N319" s="22" t="str">
        <f>IFERROR(IF(Tabela1[[#This Row],[Data de Saída]]="","ATIVO","-"),"-")</f>
        <v>ATIVO</v>
      </c>
    </row>
    <row r="320" spans="5:14" ht="24.95" customHeight="1" x14ac:dyDescent="0.2">
      <c r="E320" s="26" t="s">
        <v>526</v>
      </c>
      <c r="F320" s="20">
        <v>27068</v>
      </c>
      <c r="G320" s="20">
        <v>45050</v>
      </c>
      <c r="H320" s="12" t="s">
        <v>83</v>
      </c>
      <c r="I320" s="21" t="str">
        <f>IF(Tabela1[[#This Row],[Data de Saída]]="","",PROPER(TEXT(Tabela1[[#This Row],[Data de Saída]],"mmm")))</f>
        <v>Jun</v>
      </c>
      <c r="J320" s="21" t="str">
        <f>IF(Tabela1[[#This Row],[Data de Saída]]="","",PROPER(TEXT(Tabela1[[#This Row],[Data de Saída]],"aaaa")))</f>
        <v>2023</v>
      </c>
      <c r="K320" s="27" t="str">
        <f>IF(Tabela1[[#This Row],[Data Admissão]]="","",PROPER(TEXT(Tabela1[[#This Row],[Data Admissão]],"mmm")))</f>
        <v>Mai</v>
      </c>
      <c r="L320" s="21" t="str">
        <f>IF(Tabela1[[#This Row],[Data Admissão]]="","",PROPER(TEXT(Tabela1[[#This Row],[Data Admissão]],"aaaa")))</f>
        <v>2023</v>
      </c>
      <c r="M320" s="12" t="s">
        <v>596</v>
      </c>
      <c r="N320" s="22" t="str">
        <f>IFERROR(IF(Tabela1[[#This Row],[Data de Saída]]="","ATIVO","-"),"-")</f>
        <v>-</v>
      </c>
    </row>
    <row r="321" spans="5:14" ht="24.95" customHeight="1" x14ac:dyDescent="0.2">
      <c r="E321" s="26" t="s">
        <v>527</v>
      </c>
      <c r="F321" s="20">
        <v>35661</v>
      </c>
      <c r="G321" s="20">
        <v>45050</v>
      </c>
      <c r="H321" s="12"/>
      <c r="I321" s="21" t="str">
        <f>IF(Tabela1[[#This Row],[Data de Saída]]="","",PROPER(TEXT(Tabela1[[#This Row],[Data de Saída]],"mmm")))</f>
        <v/>
      </c>
      <c r="J321" s="21" t="str">
        <f>IF(Tabela1[[#This Row],[Data de Saída]]="","",PROPER(TEXT(Tabela1[[#This Row],[Data de Saída]],"aaaa")))</f>
        <v/>
      </c>
      <c r="K321" s="27" t="str">
        <f>IF(Tabela1[[#This Row],[Data Admissão]]="","",PROPER(TEXT(Tabela1[[#This Row],[Data Admissão]],"mmm")))</f>
        <v>Mai</v>
      </c>
      <c r="L321" s="21" t="str">
        <f>IF(Tabela1[[#This Row],[Data Admissão]]="","",PROPER(TEXT(Tabela1[[#This Row],[Data Admissão]],"aaaa")))</f>
        <v>2023</v>
      </c>
      <c r="M321" s="12" t="s">
        <v>597</v>
      </c>
      <c r="N321" s="22" t="str">
        <f>IFERROR(IF(Tabela1[[#This Row],[Data de Saída]]="","ATIVO","-"),"-")</f>
        <v>ATIVO</v>
      </c>
    </row>
    <row r="322" spans="5:14" ht="24.95" customHeight="1" x14ac:dyDescent="0.2">
      <c r="E322" s="26" t="s">
        <v>528</v>
      </c>
      <c r="F322" s="20">
        <v>36061</v>
      </c>
      <c r="G322" s="20">
        <v>45051</v>
      </c>
      <c r="H322" s="12" t="s">
        <v>72</v>
      </c>
      <c r="I322" s="21" t="str">
        <f>IF(Tabela1[[#This Row],[Data de Saída]]="","",PROPER(TEXT(Tabela1[[#This Row],[Data de Saída]],"mmm")))</f>
        <v>Mai</v>
      </c>
      <c r="J322" s="21" t="str">
        <f>IF(Tabela1[[#This Row],[Data de Saída]]="","",PROPER(TEXT(Tabela1[[#This Row],[Data de Saída]],"aaaa")))</f>
        <v>2023</v>
      </c>
      <c r="K322" s="27" t="str">
        <f>IF(Tabela1[[#This Row],[Data Admissão]]="","",PROPER(TEXT(Tabela1[[#This Row],[Data Admissão]],"mmm")))</f>
        <v>Mai</v>
      </c>
      <c r="L322" s="21" t="str">
        <f>IF(Tabela1[[#This Row],[Data Admissão]]="","",PROPER(TEXT(Tabela1[[#This Row],[Data Admissão]],"aaaa")))</f>
        <v>2023</v>
      </c>
      <c r="M322" s="12" t="s">
        <v>598</v>
      </c>
      <c r="N322" s="22" t="str">
        <f>IFERROR(IF(Tabela1[[#This Row],[Data de Saída]]="","ATIVO","-"),"-")</f>
        <v>-</v>
      </c>
    </row>
    <row r="323" spans="5:14" ht="24.95" customHeight="1" x14ac:dyDescent="0.2">
      <c r="E323" s="26" t="s">
        <v>529</v>
      </c>
      <c r="F323" s="20">
        <v>38016</v>
      </c>
      <c r="G323" s="20">
        <v>45054</v>
      </c>
      <c r="H323" s="12" t="s">
        <v>4</v>
      </c>
      <c r="I323" s="21" t="str">
        <f>IF(Tabela1[[#This Row],[Data de Saída]]="","",PROPER(TEXT(Tabela1[[#This Row],[Data de Saída]],"mmm")))</f>
        <v>Mai</v>
      </c>
      <c r="J323" s="21" t="str">
        <f>IF(Tabela1[[#This Row],[Data de Saída]]="","",PROPER(TEXT(Tabela1[[#This Row],[Data de Saída]],"aaaa")))</f>
        <v>2023</v>
      </c>
      <c r="K323" s="27" t="str">
        <f>IF(Tabela1[[#This Row],[Data Admissão]]="","",PROPER(TEXT(Tabela1[[#This Row],[Data Admissão]],"mmm")))</f>
        <v>Mai</v>
      </c>
      <c r="L323" s="21" t="str">
        <f>IF(Tabela1[[#This Row],[Data Admissão]]="","",PROPER(TEXT(Tabela1[[#This Row],[Data Admissão]],"aaaa")))</f>
        <v>2023</v>
      </c>
      <c r="M323" s="12" t="s">
        <v>599</v>
      </c>
      <c r="N323" s="22" t="str">
        <f>IFERROR(IF(Tabela1[[#This Row],[Data de Saída]]="","ATIVO","-"),"-")</f>
        <v>-</v>
      </c>
    </row>
    <row r="324" spans="5:14" ht="24.95" customHeight="1" x14ac:dyDescent="0.2">
      <c r="E324" s="26" t="s">
        <v>530</v>
      </c>
      <c r="F324" s="20">
        <v>35197</v>
      </c>
      <c r="G324" s="20">
        <v>45054</v>
      </c>
      <c r="H324" s="12" t="s">
        <v>44</v>
      </c>
      <c r="I324" s="21" t="str">
        <f>IF(Tabela1[[#This Row],[Data de Saída]]="","",PROPER(TEXT(Tabela1[[#This Row],[Data de Saída]],"mmm")))</f>
        <v>Jun</v>
      </c>
      <c r="J324" s="21" t="str">
        <f>IF(Tabela1[[#This Row],[Data de Saída]]="","",PROPER(TEXT(Tabela1[[#This Row],[Data de Saída]],"aaaa")))</f>
        <v>2023</v>
      </c>
      <c r="K324" s="27" t="str">
        <f>IF(Tabela1[[#This Row],[Data Admissão]]="","",PROPER(TEXT(Tabela1[[#This Row],[Data Admissão]],"mmm")))</f>
        <v>Mai</v>
      </c>
      <c r="L324" s="21" t="str">
        <f>IF(Tabela1[[#This Row],[Data Admissão]]="","",PROPER(TEXT(Tabela1[[#This Row],[Data Admissão]],"aaaa")))</f>
        <v>2023</v>
      </c>
      <c r="M324" s="12" t="s">
        <v>599</v>
      </c>
      <c r="N324" s="22" t="str">
        <f>IFERROR(IF(Tabela1[[#This Row],[Data de Saída]]="","ATIVO","-"),"-")</f>
        <v>-</v>
      </c>
    </row>
    <row r="325" spans="5:14" ht="24.95" customHeight="1" x14ac:dyDescent="0.2">
      <c r="E325" s="26" t="s">
        <v>531</v>
      </c>
      <c r="F325" s="20">
        <v>32855</v>
      </c>
      <c r="G325" s="20">
        <v>45054</v>
      </c>
      <c r="H325" s="12" t="s">
        <v>63</v>
      </c>
      <c r="I325" s="21" t="str">
        <f>IF(Tabela1[[#This Row],[Data de Saída]]="","",PROPER(TEXT(Tabela1[[#This Row],[Data de Saída]],"mmm")))</f>
        <v>Mai</v>
      </c>
      <c r="J325" s="21" t="str">
        <f>IF(Tabela1[[#This Row],[Data de Saída]]="","",PROPER(TEXT(Tabela1[[#This Row],[Data de Saída]],"aaaa")))</f>
        <v>2023</v>
      </c>
      <c r="K325" s="27" t="str">
        <f>IF(Tabela1[[#This Row],[Data Admissão]]="","",PROPER(TEXT(Tabela1[[#This Row],[Data Admissão]],"mmm")))</f>
        <v>Mai</v>
      </c>
      <c r="L325" s="21" t="str">
        <f>IF(Tabela1[[#This Row],[Data Admissão]]="","",PROPER(TEXT(Tabela1[[#This Row],[Data Admissão]],"aaaa")))</f>
        <v>2023</v>
      </c>
      <c r="M325" s="12" t="s">
        <v>599</v>
      </c>
      <c r="N325" s="22" t="str">
        <f>IFERROR(IF(Tabela1[[#This Row],[Data de Saída]]="","ATIVO","-"),"-")</f>
        <v>-</v>
      </c>
    </row>
    <row r="326" spans="5:14" ht="24.95" customHeight="1" x14ac:dyDescent="0.2">
      <c r="E326" s="26" t="s">
        <v>532</v>
      </c>
      <c r="F326" s="20">
        <v>37920</v>
      </c>
      <c r="G326" s="20">
        <v>45055</v>
      </c>
      <c r="H326" s="12"/>
      <c r="I326" s="21" t="str">
        <f>IF(Tabela1[[#This Row],[Data de Saída]]="","",PROPER(TEXT(Tabela1[[#This Row],[Data de Saída]],"mmm")))</f>
        <v/>
      </c>
      <c r="J326" s="21" t="str">
        <f>IF(Tabela1[[#This Row],[Data de Saída]]="","",PROPER(TEXT(Tabela1[[#This Row],[Data de Saída]],"aaaa")))</f>
        <v/>
      </c>
      <c r="K326" s="27" t="str">
        <f>IF(Tabela1[[#This Row],[Data Admissão]]="","",PROPER(TEXT(Tabela1[[#This Row],[Data Admissão]],"mmm")))</f>
        <v>Mai</v>
      </c>
      <c r="L326" s="21" t="str">
        <f>IF(Tabela1[[#This Row],[Data Admissão]]="","",PROPER(TEXT(Tabela1[[#This Row],[Data Admissão]],"aaaa")))</f>
        <v>2023</v>
      </c>
      <c r="M326" s="12" t="s">
        <v>599</v>
      </c>
      <c r="N326" s="22" t="str">
        <f>IFERROR(IF(Tabela1[[#This Row],[Data de Saída]]="","ATIVO","-"),"-")</f>
        <v>ATIVO</v>
      </c>
    </row>
    <row r="327" spans="5:14" ht="24.95" customHeight="1" x14ac:dyDescent="0.2">
      <c r="E327" s="26" t="s">
        <v>533</v>
      </c>
      <c r="F327" s="20">
        <v>31425</v>
      </c>
      <c r="G327" s="20">
        <v>45056</v>
      </c>
      <c r="H327" s="12" t="s">
        <v>4</v>
      </c>
      <c r="I327" s="21" t="str">
        <f>IF(Tabela1[[#This Row],[Data de Saída]]="","",PROPER(TEXT(Tabela1[[#This Row],[Data de Saída]],"mmm")))</f>
        <v>Mai</v>
      </c>
      <c r="J327" s="21" t="str">
        <f>IF(Tabela1[[#This Row],[Data de Saída]]="","",PROPER(TEXT(Tabela1[[#This Row],[Data de Saída]],"aaaa")))</f>
        <v>2023</v>
      </c>
      <c r="K327" s="27" t="str">
        <f>IF(Tabela1[[#This Row],[Data Admissão]]="","",PROPER(TEXT(Tabela1[[#This Row],[Data Admissão]],"mmm")))</f>
        <v>Mai</v>
      </c>
      <c r="L327" s="21" t="str">
        <f>IF(Tabela1[[#This Row],[Data Admissão]]="","",PROPER(TEXT(Tabela1[[#This Row],[Data Admissão]],"aaaa")))</f>
        <v>2023</v>
      </c>
      <c r="M327" s="12" t="s">
        <v>600</v>
      </c>
      <c r="N327" s="22" t="str">
        <f>IFERROR(IF(Tabela1[[#This Row],[Data de Saída]]="","ATIVO","-"),"-")</f>
        <v>-</v>
      </c>
    </row>
    <row r="328" spans="5:14" ht="24.95" customHeight="1" x14ac:dyDescent="0.2">
      <c r="E328" s="26" t="s">
        <v>534</v>
      </c>
      <c r="F328" s="20">
        <v>37395</v>
      </c>
      <c r="G328" s="20">
        <v>45061</v>
      </c>
      <c r="H328" s="12" t="s">
        <v>128</v>
      </c>
      <c r="I328" s="21" t="str">
        <f>IF(Tabela1[[#This Row],[Data de Saída]]="","",PROPER(TEXT(Tabela1[[#This Row],[Data de Saída]],"mmm")))</f>
        <v>Jun</v>
      </c>
      <c r="J328" s="21" t="str">
        <f>IF(Tabela1[[#This Row],[Data de Saída]]="","",PROPER(TEXT(Tabela1[[#This Row],[Data de Saída]],"aaaa")))</f>
        <v>2023</v>
      </c>
      <c r="K328" s="27" t="str">
        <f>IF(Tabela1[[#This Row],[Data Admissão]]="","",PROPER(TEXT(Tabela1[[#This Row],[Data Admissão]],"mmm")))</f>
        <v>Mai</v>
      </c>
      <c r="L328" s="21" t="str">
        <f>IF(Tabela1[[#This Row],[Data Admissão]]="","",PROPER(TEXT(Tabela1[[#This Row],[Data Admissão]],"aaaa")))</f>
        <v>2023</v>
      </c>
      <c r="M328" s="12" t="s">
        <v>601</v>
      </c>
      <c r="N328" s="22" t="str">
        <f>IFERROR(IF(Tabela1[[#This Row],[Data de Saída]]="","ATIVO","-"),"-")</f>
        <v>-</v>
      </c>
    </row>
    <row r="329" spans="5:14" ht="24.95" customHeight="1" x14ac:dyDescent="0.2">
      <c r="E329" s="26" t="s">
        <v>535</v>
      </c>
      <c r="F329" s="20">
        <v>35224</v>
      </c>
      <c r="G329" s="20">
        <v>45061</v>
      </c>
      <c r="H329" s="12" t="s">
        <v>147</v>
      </c>
      <c r="I329" s="21" t="str">
        <f>IF(Tabela1[[#This Row],[Data de Saída]]="","",PROPER(TEXT(Tabela1[[#This Row],[Data de Saída]],"mmm")))</f>
        <v>Set</v>
      </c>
      <c r="J329" s="21" t="str">
        <f>IF(Tabela1[[#This Row],[Data de Saída]]="","",PROPER(TEXT(Tabela1[[#This Row],[Data de Saída]],"aaaa")))</f>
        <v>2023</v>
      </c>
      <c r="K329" s="27" t="str">
        <f>IF(Tabela1[[#This Row],[Data Admissão]]="","",PROPER(TEXT(Tabela1[[#This Row],[Data Admissão]],"mmm")))</f>
        <v>Mai</v>
      </c>
      <c r="L329" s="21" t="str">
        <f>IF(Tabela1[[#This Row],[Data Admissão]]="","",PROPER(TEXT(Tabela1[[#This Row],[Data Admissão]],"aaaa")))</f>
        <v>2023</v>
      </c>
      <c r="M329" s="12" t="s">
        <v>602</v>
      </c>
      <c r="N329" s="22" t="str">
        <f>IFERROR(IF(Tabela1[[#This Row],[Data de Saída]]="","ATIVO","-"),"-")</f>
        <v>-</v>
      </c>
    </row>
    <row r="330" spans="5:14" ht="24.95" customHeight="1" x14ac:dyDescent="0.2">
      <c r="E330" s="26" t="s">
        <v>536</v>
      </c>
      <c r="F330" s="20">
        <v>35247</v>
      </c>
      <c r="G330" s="20">
        <v>45061</v>
      </c>
      <c r="H330" s="12"/>
      <c r="I330" s="21" t="str">
        <f>IF(Tabela1[[#This Row],[Data de Saída]]="","",PROPER(TEXT(Tabela1[[#This Row],[Data de Saída]],"mmm")))</f>
        <v/>
      </c>
      <c r="J330" s="21" t="str">
        <f>IF(Tabela1[[#This Row],[Data de Saída]]="","",PROPER(TEXT(Tabela1[[#This Row],[Data de Saída]],"aaaa")))</f>
        <v/>
      </c>
      <c r="K330" s="27" t="str">
        <f>IF(Tabela1[[#This Row],[Data Admissão]]="","",PROPER(TEXT(Tabela1[[#This Row],[Data Admissão]],"mmm")))</f>
        <v>Mai</v>
      </c>
      <c r="L330" s="21" t="str">
        <f>IF(Tabela1[[#This Row],[Data Admissão]]="","",PROPER(TEXT(Tabela1[[#This Row],[Data Admissão]],"aaaa")))</f>
        <v>2023</v>
      </c>
      <c r="M330" s="12" t="s">
        <v>594</v>
      </c>
      <c r="N330" s="22" t="str">
        <f>IFERROR(IF(Tabela1[[#This Row],[Data de Saída]]="","ATIVO","-"),"-")</f>
        <v>ATIVO</v>
      </c>
    </row>
    <row r="331" spans="5:14" ht="24.95" customHeight="1" x14ac:dyDescent="0.2">
      <c r="E331" s="26" t="s">
        <v>537</v>
      </c>
      <c r="F331" s="20">
        <v>36862</v>
      </c>
      <c r="G331" s="20">
        <v>45062</v>
      </c>
      <c r="H331" s="12"/>
      <c r="I331" s="21" t="str">
        <f>IF(Tabela1[[#This Row],[Data de Saída]]="","",PROPER(TEXT(Tabela1[[#This Row],[Data de Saída]],"mmm")))</f>
        <v/>
      </c>
      <c r="J331" s="21" t="str">
        <f>IF(Tabela1[[#This Row],[Data de Saída]]="","",PROPER(TEXT(Tabela1[[#This Row],[Data de Saída]],"aaaa")))</f>
        <v/>
      </c>
      <c r="K331" s="27" t="str">
        <f>IF(Tabela1[[#This Row],[Data Admissão]]="","",PROPER(TEXT(Tabela1[[#This Row],[Data Admissão]],"mmm")))</f>
        <v>Mai</v>
      </c>
      <c r="L331" s="21" t="str">
        <f>IF(Tabela1[[#This Row],[Data Admissão]]="","",PROPER(TEXT(Tabela1[[#This Row],[Data Admissão]],"aaaa")))</f>
        <v>2023</v>
      </c>
      <c r="M331" s="12" t="s">
        <v>594</v>
      </c>
      <c r="N331" s="22" t="str">
        <f>IFERROR(IF(Tabela1[[#This Row],[Data de Saída]]="","ATIVO","-"),"-")</f>
        <v>ATIVO</v>
      </c>
    </row>
    <row r="332" spans="5:14" ht="24.95" customHeight="1" x14ac:dyDescent="0.2">
      <c r="E332" s="26" t="s">
        <v>538</v>
      </c>
      <c r="F332" s="20">
        <v>36903</v>
      </c>
      <c r="G332" s="20">
        <v>45063</v>
      </c>
      <c r="H332" s="12" t="s">
        <v>96</v>
      </c>
      <c r="I332" s="21" t="str">
        <f>IF(Tabela1[[#This Row],[Data de Saída]]="","",PROPER(TEXT(Tabela1[[#This Row],[Data de Saída]],"mmm")))</f>
        <v>Jun</v>
      </c>
      <c r="J332" s="21" t="str">
        <f>IF(Tabela1[[#This Row],[Data de Saída]]="","",PROPER(TEXT(Tabela1[[#This Row],[Data de Saída]],"aaaa")))</f>
        <v>2023</v>
      </c>
      <c r="K332" s="27" t="str">
        <f>IF(Tabela1[[#This Row],[Data Admissão]]="","",PROPER(TEXT(Tabela1[[#This Row],[Data Admissão]],"mmm")))</f>
        <v>Mai</v>
      </c>
      <c r="L332" s="21" t="str">
        <f>IF(Tabela1[[#This Row],[Data Admissão]]="","",PROPER(TEXT(Tabela1[[#This Row],[Data Admissão]],"aaaa")))</f>
        <v>2023</v>
      </c>
      <c r="M332" s="12" t="s">
        <v>595</v>
      </c>
      <c r="N332" s="22" t="str">
        <f>IFERROR(IF(Tabela1[[#This Row],[Data de Saída]]="","ATIVO","-"),"-")</f>
        <v>-</v>
      </c>
    </row>
    <row r="333" spans="5:14" ht="24.95" customHeight="1" x14ac:dyDescent="0.2">
      <c r="E333" s="26" t="s">
        <v>539</v>
      </c>
      <c r="F333" s="20">
        <v>31453</v>
      </c>
      <c r="G333" s="20">
        <v>45068</v>
      </c>
      <c r="H333" s="12"/>
      <c r="I333" s="21" t="str">
        <f>IF(Tabela1[[#This Row],[Data de Saída]]="","",PROPER(TEXT(Tabela1[[#This Row],[Data de Saída]],"mmm")))</f>
        <v/>
      </c>
      <c r="J333" s="21" t="str">
        <f>IF(Tabela1[[#This Row],[Data de Saída]]="","",PROPER(TEXT(Tabela1[[#This Row],[Data de Saída]],"aaaa")))</f>
        <v/>
      </c>
      <c r="K333" s="27" t="str">
        <f>IF(Tabela1[[#This Row],[Data Admissão]]="","",PROPER(TEXT(Tabela1[[#This Row],[Data Admissão]],"mmm")))</f>
        <v>Mai</v>
      </c>
      <c r="L333" s="21" t="str">
        <f>IF(Tabela1[[#This Row],[Data Admissão]]="","",PROPER(TEXT(Tabela1[[#This Row],[Data Admissão]],"aaaa")))</f>
        <v>2023</v>
      </c>
      <c r="M333" s="12" t="s">
        <v>596</v>
      </c>
      <c r="N333" s="22" t="str">
        <f>IFERROR(IF(Tabela1[[#This Row],[Data de Saída]]="","ATIVO","-"),"-")</f>
        <v>ATIVO</v>
      </c>
    </row>
    <row r="334" spans="5:14" ht="24.95" customHeight="1" x14ac:dyDescent="0.2">
      <c r="E334" s="26" t="s">
        <v>540</v>
      </c>
      <c r="F334" s="20">
        <v>33824</v>
      </c>
      <c r="G334" s="20">
        <v>45069</v>
      </c>
      <c r="H334" s="12"/>
      <c r="I334" s="21" t="str">
        <f>IF(Tabela1[[#This Row],[Data de Saída]]="","",PROPER(TEXT(Tabela1[[#This Row],[Data de Saída]],"mmm")))</f>
        <v/>
      </c>
      <c r="J334" s="21" t="str">
        <f>IF(Tabela1[[#This Row],[Data de Saída]]="","",PROPER(TEXT(Tabela1[[#This Row],[Data de Saída]],"aaaa")))</f>
        <v/>
      </c>
      <c r="K334" s="27" t="str">
        <f>IF(Tabela1[[#This Row],[Data Admissão]]="","",PROPER(TEXT(Tabela1[[#This Row],[Data Admissão]],"mmm")))</f>
        <v>Mai</v>
      </c>
      <c r="L334" s="21" t="str">
        <f>IF(Tabela1[[#This Row],[Data Admissão]]="","",PROPER(TEXT(Tabela1[[#This Row],[Data Admissão]],"aaaa")))</f>
        <v>2023</v>
      </c>
      <c r="M334" s="12" t="s">
        <v>597</v>
      </c>
      <c r="N334" s="22" t="str">
        <f>IFERROR(IF(Tabela1[[#This Row],[Data de Saída]]="","ATIVO","-"),"-")</f>
        <v>ATIVO</v>
      </c>
    </row>
    <row r="335" spans="5:14" ht="24.95" customHeight="1" x14ac:dyDescent="0.2">
      <c r="E335" s="26" t="s">
        <v>541</v>
      </c>
      <c r="F335" s="20">
        <v>34551</v>
      </c>
      <c r="G335" s="20">
        <v>45078</v>
      </c>
      <c r="H335" s="12"/>
      <c r="I335" s="21" t="str">
        <f>IF(Tabela1[[#This Row],[Data de Saída]]="","",PROPER(TEXT(Tabela1[[#This Row],[Data de Saída]],"mmm")))</f>
        <v/>
      </c>
      <c r="J335" s="21" t="str">
        <f>IF(Tabela1[[#This Row],[Data de Saída]]="","",PROPER(TEXT(Tabela1[[#This Row],[Data de Saída]],"aaaa")))</f>
        <v/>
      </c>
      <c r="K335" s="27" t="str">
        <f>IF(Tabela1[[#This Row],[Data Admissão]]="","",PROPER(TEXT(Tabela1[[#This Row],[Data Admissão]],"mmm")))</f>
        <v>Jun</v>
      </c>
      <c r="L335" s="21" t="str">
        <f>IF(Tabela1[[#This Row],[Data Admissão]]="","",PROPER(TEXT(Tabela1[[#This Row],[Data Admissão]],"aaaa")))</f>
        <v>2023</v>
      </c>
      <c r="M335" s="12" t="s">
        <v>598</v>
      </c>
      <c r="N335" s="22" t="str">
        <f>IFERROR(IF(Tabela1[[#This Row],[Data de Saída]]="","ATIVO","-"),"-")</f>
        <v>ATIVO</v>
      </c>
    </row>
    <row r="336" spans="5:14" ht="24.95" customHeight="1" x14ac:dyDescent="0.2">
      <c r="E336" s="26" t="s">
        <v>542</v>
      </c>
      <c r="F336" s="20">
        <v>31946</v>
      </c>
      <c r="G336" s="20">
        <v>45078</v>
      </c>
      <c r="H336" s="12" t="s">
        <v>53</v>
      </c>
      <c r="I336" s="21" t="str">
        <f>IF(Tabela1[[#This Row],[Data de Saída]]="","",PROPER(TEXT(Tabela1[[#This Row],[Data de Saída]],"mmm")))</f>
        <v>Out</v>
      </c>
      <c r="J336" s="21" t="str">
        <f>IF(Tabela1[[#This Row],[Data de Saída]]="","",PROPER(TEXT(Tabela1[[#This Row],[Data de Saída]],"aaaa")))</f>
        <v>2023</v>
      </c>
      <c r="K336" s="27" t="str">
        <f>IF(Tabela1[[#This Row],[Data Admissão]]="","",PROPER(TEXT(Tabela1[[#This Row],[Data Admissão]],"mmm")))</f>
        <v>Jun</v>
      </c>
      <c r="L336" s="21" t="str">
        <f>IF(Tabela1[[#This Row],[Data Admissão]]="","",PROPER(TEXT(Tabela1[[#This Row],[Data Admissão]],"aaaa")))</f>
        <v>2023</v>
      </c>
      <c r="M336" s="12" t="s">
        <v>599</v>
      </c>
      <c r="N336" s="22" t="str">
        <f>IFERROR(IF(Tabela1[[#This Row],[Data de Saída]]="","ATIVO","-"),"-")</f>
        <v>-</v>
      </c>
    </row>
    <row r="337" spans="5:14" ht="24.95" customHeight="1" x14ac:dyDescent="0.2">
      <c r="E337" s="26" t="s">
        <v>543</v>
      </c>
      <c r="F337" s="20">
        <v>37743</v>
      </c>
      <c r="G337" s="20">
        <v>45091</v>
      </c>
      <c r="H337" s="12" t="s">
        <v>97</v>
      </c>
      <c r="I337" s="21" t="str">
        <f>IF(Tabela1[[#This Row],[Data de Saída]]="","",PROPER(TEXT(Tabela1[[#This Row],[Data de Saída]],"mmm")))</f>
        <v>Set</v>
      </c>
      <c r="J337" s="21" t="str">
        <f>IF(Tabela1[[#This Row],[Data de Saída]]="","",PROPER(TEXT(Tabela1[[#This Row],[Data de Saída]],"aaaa")))</f>
        <v>2023</v>
      </c>
      <c r="K337" s="27" t="str">
        <f>IF(Tabela1[[#This Row],[Data Admissão]]="","",PROPER(TEXT(Tabela1[[#This Row],[Data Admissão]],"mmm")))</f>
        <v>Jun</v>
      </c>
      <c r="L337" s="21" t="str">
        <f>IF(Tabela1[[#This Row],[Data Admissão]]="","",PROPER(TEXT(Tabela1[[#This Row],[Data Admissão]],"aaaa")))</f>
        <v>2023</v>
      </c>
      <c r="M337" s="12" t="s">
        <v>599</v>
      </c>
      <c r="N337" s="22" t="str">
        <f>IFERROR(IF(Tabela1[[#This Row],[Data de Saída]]="","ATIVO","-"),"-")</f>
        <v>-</v>
      </c>
    </row>
    <row r="338" spans="5:14" ht="24.95" customHeight="1" x14ac:dyDescent="0.2">
      <c r="E338" s="26" t="s">
        <v>544</v>
      </c>
      <c r="F338" s="20">
        <v>27362</v>
      </c>
      <c r="G338" s="20">
        <v>45096</v>
      </c>
      <c r="H338" s="12"/>
      <c r="I338" s="21" t="str">
        <f>IF(Tabela1[[#This Row],[Data de Saída]]="","",PROPER(TEXT(Tabela1[[#This Row],[Data de Saída]],"mmm")))</f>
        <v/>
      </c>
      <c r="J338" s="21" t="str">
        <f>IF(Tabela1[[#This Row],[Data de Saída]]="","",PROPER(TEXT(Tabela1[[#This Row],[Data de Saída]],"aaaa")))</f>
        <v/>
      </c>
      <c r="K338" s="27" t="str">
        <f>IF(Tabela1[[#This Row],[Data Admissão]]="","",PROPER(TEXT(Tabela1[[#This Row],[Data Admissão]],"mmm")))</f>
        <v>Jun</v>
      </c>
      <c r="L338" s="21" t="str">
        <f>IF(Tabela1[[#This Row],[Data Admissão]]="","",PROPER(TEXT(Tabela1[[#This Row],[Data Admissão]],"aaaa")))</f>
        <v>2023</v>
      </c>
      <c r="M338" s="12" t="s">
        <v>599</v>
      </c>
      <c r="N338" s="22" t="str">
        <f>IFERROR(IF(Tabela1[[#This Row],[Data de Saída]]="","ATIVO","-"),"-")</f>
        <v>ATIVO</v>
      </c>
    </row>
    <row r="339" spans="5:14" ht="24.95" customHeight="1" x14ac:dyDescent="0.2">
      <c r="E339" s="26" t="s">
        <v>545</v>
      </c>
      <c r="F339" s="20">
        <v>34754</v>
      </c>
      <c r="G339" s="20">
        <v>45096</v>
      </c>
      <c r="H339" s="12"/>
      <c r="I339" s="21" t="str">
        <f>IF(Tabela1[[#This Row],[Data de Saída]]="","",PROPER(TEXT(Tabela1[[#This Row],[Data de Saída]],"mmm")))</f>
        <v/>
      </c>
      <c r="J339" s="21" t="str">
        <f>IF(Tabela1[[#This Row],[Data de Saída]]="","",PROPER(TEXT(Tabela1[[#This Row],[Data de Saída]],"aaaa")))</f>
        <v/>
      </c>
      <c r="K339" s="27" t="str">
        <f>IF(Tabela1[[#This Row],[Data Admissão]]="","",PROPER(TEXT(Tabela1[[#This Row],[Data Admissão]],"mmm")))</f>
        <v>Jun</v>
      </c>
      <c r="L339" s="21" t="str">
        <f>IF(Tabela1[[#This Row],[Data Admissão]]="","",PROPER(TEXT(Tabela1[[#This Row],[Data Admissão]],"aaaa")))</f>
        <v>2023</v>
      </c>
      <c r="M339" s="12" t="s">
        <v>599</v>
      </c>
      <c r="N339" s="22" t="str">
        <f>IFERROR(IF(Tabela1[[#This Row],[Data de Saída]]="","ATIVO","-"),"-")</f>
        <v>ATIVO</v>
      </c>
    </row>
    <row r="340" spans="5:14" ht="24.95" customHeight="1" x14ac:dyDescent="0.2">
      <c r="E340" s="26" t="s">
        <v>546</v>
      </c>
      <c r="F340" s="20">
        <v>35979</v>
      </c>
      <c r="G340" s="20">
        <v>45103</v>
      </c>
      <c r="H340" s="12"/>
      <c r="I340" s="21" t="str">
        <f>IF(Tabela1[[#This Row],[Data de Saída]]="","",PROPER(TEXT(Tabela1[[#This Row],[Data de Saída]],"mmm")))</f>
        <v/>
      </c>
      <c r="J340" s="21" t="str">
        <f>IF(Tabela1[[#This Row],[Data de Saída]]="","",PROPER(TEXT(Tabela1[[#This Row],[Data de Saída]],"aaaa")))</f>
        <v/>
      </c>
      <c r="K340" s="27" t="str">
        <f>IF(Tabela1[[#This Row],[Data Admissão]]="","",PROPER(TEXT(Tabela1[[#This Row],[Data Admissão]],"mmm")))</f>
        <v>Jun</v>
      </c>
      <c r="L340" s="21" t="str">
        <f>IF(Tabela1[[#This Row],[Data Admissão]]="","",PROPER(TEXT(Tabela1[[#This Row],[Data Admissão]],"aaaa")))</f>
        <v>2023</v>
      </c>
      <c r="M340" s="12" t="s">
        <v>600</v>
      </c>
      <c r="N340" s="22" t="str">
        <f>IFERROR(IF(Tabela1[[#This Row],[Data de Saída]]="","ATIVO","-"),"-")</f>
        <v>ATIVO</v>
      </c>
    </row>
    <row r="341" spans="5:14" ht="24.95" customHeight="1" x14ac:dyDescent="0.2">
      <c r="E341" s="26" t="s">
        <v>547</v>
      </c>
      <c r="F341" s="20">
        <v>28921</v>
      </c>
      <c r="G341" s="20">
        <v>45110</v>
      </c>
      <c r="H341" s="12"/>
      <c r="I341" s="21" t="str">
        <f>IF(Tabela1[[#This Row],[Data de Saída]]="","",PROPER(TEXT(Tabela1[[#This Row],[Data de Saída]],"mmm")))</f>
        <v/>
      </c>
      <c r="J341" s="21" t="str">
        <f>IF(Tabela1[[#This Row],[Data de Saída]]="","",PROPER(TEXT(Tabela1[[#This Row],[Data de Saída]],"aaaa")))</f>
        <v/>
      </c>
      <c r="K341" s="27" t="str">
        <f>IF(Tabela1[[#This Row],[Data Admissão]]="","",PROPER(TEXT(Tabela1[[#This Row],[Data Admissão]],"mmm")))</f>
        <v>Jul</v>
      </c>
      <c r="L341" s="21" t="str">
        <f>IF(Tabela1[[#This Row],[Data Admissão]]="","",PROPER(TEXT(Tabela1[[#This Row],[Data Admissão]],"aaaa")))</f>
        <v>2023</v>
      </c>
      <c r="M341" s="12" t="s">
        <v>601</v>
      </c>
      <c r="N341" s="22" t="str">
        <f>IFERROR(IF(Tabela1[[#This Row],[Data de Saída]]="","ATIVO","-"),"-")</f>
        <v>ATIVO</v>
      </c>
    </row>
    <row r="342" spans="5:14" ht="24.95" customHeight="1" x14ac:dyDescent="0.2">
      <c r="E342" s="26" t="s">
        <v>548</v>
      </c>
      <c r="F342" s="20">
        <v>38188</v>
      </c>
      <c r="G342" s="20">
        <v>45110</v>
      </c>
      <c r="H342" s="12" t="s">
        <v>51</v>
      </c>
      <c r="I342" s="21" t="str">
        <f>IF(Tabela1[[#This Row],[Data de Saída]]="","",PROPER(TEXT(Tabela1[[#This Row],[Data de Saída]],"mmm")))</f>
        <v>Ago</v>
      </c>
      <c r="J342" s="21" t="str">
        <f>IF(Tabela1[[#This Row],[Data de Saída]]="","",PROPER(TEXT(Tabela1[[#This Row],[Data de Saída]],"aaaa")))</f>
        <v>2023</v>
      </c>
      <c r="K342" s="27" t="str">
        <f>IF(Tabela1[[#This Row],[Data Admissão]]="","",PROPER(TEXT(Tabela1[[#This Row],[Data Admissão]],"mmm")))</f>
        <v>Jul</v>
      </c>
      <c r="L342" s="21" t="str">
        <f>IF(Tabela1[[#This Row],[Data Admissão]]="","",PROPER(TEXT(Tabela1[[#This Row],[Data Admissão]],"aaaa")))</f>
        <v>2023</v>
      </c>
      <c r="M342" s="12" t="s">
        <v>602</v>
      </c>
      <c r="N342" s="22" t="str">
        <f>IFERROR(IF(Tabela1[[#This Row],[Data de Saída]]="","ATIVO","-"),"-")</f>
        <v>-</v>
      </c>
    </row>
    <row r="343" spans="5:14" ht="24.95" customHeight="1" x14ac:dyDescent="0.2">
      <c r="E343" s="26" t="s">
        <v>549</v>
      </c>
      <c r="F343" s="20">
        <v>36660</v>
      </c>
      <c r="G343" s="20">
        <v>45110</v>
      </c>
      <c r="H343" s="12"/>
      <c r="I343" s="21" t="str">
        <f>IF(Tabela1[[#This Row],[Data de Saída]]="","",PROPER(TEXT(Tabela1[[#This Row],[Data de Saída]],"mmm")))</f>
        <v/>
      </c>
      <c r="J343" s="21" t="str">
        <f>IF(Tabela1[[#This Row],[Data de Saída]]="","",PROPER(TEXT(Tabela1[[#This Row],[Data de Saída]],"aaaa")))</f>
        <v/>
      </c>
      <c r="K343" s="27" t="str">
        <f>IF(Tabela1[[#This Row],[Data Admissão]]="","",PROPER(TEXT(Tabela1[[#This Row],[Data Admissão]],"mmm")))</f>
        <v>Jul</v>
      </c>
      <c r="L343" s="21" t="str">
        <f>IF(Tabela1[[#This Row],[Data Admissão]]="","",PROPER(TEXT(Tabela1[[#This Row],[Data Admissão]],"aaaa")))</f>
        <v>2023</v>
      </c>
      <c r="M343" s="12" t="s">
        <v>594</v>
      </c>
      <c r="N343" s="22" t="str">
        <f>IFERROR(IF(Tabela1[[#This Row],[Data de Saída]]="","ATIVO","-"),"-")</f>
        <v>ATIVO</v>
      </c>
    </row>
    <row r="344" spans="5:14" ht="24.95" customHeight="1" x14ac:dyDescent="0.2">
      <c r="E344" s="26" t="s">
        <v>550</v>
      </c>
      <c r="F344" s="20">
        <v>35881</v>
      </c>
      <c r="G344" s="20">
        <v>45118</v>
      </c>
      <c r="H344" s="12" t="s">
        <v>47</v>
      </c>
      <c r="I344" s="21" t="str">
        <f>IF(Tabela1[[#This Row],[Data de Saída]]="","",PROPER(TEXT(Tabela1[[#This Row],[Data de Saída]],"mmm")))</f>
        <v>Ago</v>
      </c>
      <c r="J344" s="21" t="str">
        <f>IF(Tabela1[[#This Row],[Data de Saída]]="","",PROPER(TEXT(Tabela1[[#This Row],[Data de Saída]],"aaaa")))</f>
        <v>2023</v>
      </c>
      <c r="K344" s="27" t="str">
        <f>IF(Tabela1[[#This Row],[Data Admissão]]="","",PROPER(TEXT(Tabela1[[#This Row],[Data Admissão]],"mmm")))</f>
        <v>Jul</v>
      </c>
      <c r="L344" s="21" t="str">
        <f>IF(Tabela1[[#This Row],[Data Admissão]]="","",PROPER(TEXT(Tabela1[[#This Row],[Data Admissão]],"aaaa")))</f>
        <v>2023</v>
      </c>
      <c r="M344" s="12" t="s">
        <v>594</v>
      </c>
      <c r="N344" s="22" t="str">
        <f>IFERROR(IF(Tabela1[[#This Row],[Data de Saída]]="","ATIVO","-"),"-")</f>
        <v>-</v>
      </c>
    </row>
    <row r="345" spans="5:14" ht="24.95" customHeight="1" x14ac:dyDescent="0.2">
      <c r="E345" s="26" t="s">
        <v>551</v>
      </c>
      <c r="F345" s="20">
        <v>32074</v>
      </c>
      <c r="G345" s="20">
        <v>45126</v>
      </c>
      <c r="H345" s="12"/>
      <c r="I345" s="21" t="str">
        <f>IF(Tabela1[[#This Row],[Data de Saída]]="","",PROPER(TEXT(Tabela1[[#This Row],[Data de Saída]],"mmm")))</f>
        <v/>
      </c>
      <c r="J345" s="21" t="str">
        <f>IF(Tabela1[[#This Row],[Data de Saída]]="","",PROPER(TEXT(Tabela1[[#This Row],[Data de Saída]],"aaaa")))</f>
        <v/>
      </c>
      <c r="K345" s="27" t="str">
        <f>IF(Tabela1[[#This Row],[Data Admissão]]="","",PROPER(TEXT(Tabela1[[#This Row],[Data Admissão]],"mmm")))</f>
        <v>Jul</v>
      </c>
      <c r="L345" s="21" t="str">
        <f>IF(Tabela1[[#This Row],[Data Admissão]]="","",PROPER(TEXT(Tabela1[[#This Row],[Data Admissão]],"aaaa")))</f>
        <v>2023</v>
      </c>
      <c r="M345" s="12" t="s">
        <v>595</v>
      </c>
      <c r="N345" s="22" t="str">
        <f>IFERROR(IF(Tabela1[[#This Row],[Data de Saída]]="","ATIVO","-"),"-")</f>
        <v>ATIVO</v>
      </c>
    </row>
    <row r="346" spans="5:14" ht="24.95" customHeight="1" x14ac:dyDescent="0.2">
      <c r="E346" s="26" t="s">
        <v>552</v>
      </c>
      <c r="F346" s="20">
        <v>31604</v>
      </c>
      <c r="G346" s="20">
        <v>45139</v>
      </c>
      <c r="H346" s="12" t="s">
        <v>109</v>
      </c>
      <c r="I346" s="21" t="str">
        <f>IF(Tabela1[[#This Row],[Data de Saída]]="","",PROPER(TEXT(Tabela1[[#This Row],[Data de Saída]],"mmm")))</f>
        <v>Jan</v>
      </c>
      <c r="J346" s="21" t="str">
        <f>IF(Tabela1[[#This Row],[Data de Saída]]="","",PROPER(TEXT(Tabela1[[#This Row],[Data de Saída]],"aaaa")))</f>
        <v>2024</v>
      </c>
      <c r="K346" s="27" t="str">
        <f>IF(Tabela1[[#This Row],[Data Admissão]]="","",PROPER(TEXT(Tabela1[[#This Row],[Data Admissão]],"mmm")))</f>
        <v>Ago</v>
      </c>
      <c r="L346" s="21" t="str">
        <f>IF(Tabela1[[#This Row],[Data Admissão]]="","",PROPER(TEXT(Tabela1[[#This Row],[Data Admissão]],"aaaa")))</f>
        <v>2023</v>
      </c>
      <c r="M346" s="12" t="s">
        <v>596</v>
      </c>
      <c r="N346" s="22" t="str">
        <f>IFERROR(IF(Tabela1[[#This Row],[Data de Saída]]="","ATIVO","-"),"-")</f>
        <v>-</v>
      </c>
    </row>
    <row r="347" spans="5:14" ht="24.95" customHeight="1" x14ac:dyDescent="0.2">
      <c r="E347" s="26" t="s">
        <v>553</v>
      </c>
      <c r="F347" s="20">
        <v>30365</v>
      </c>
      <c r="G347" s="20">
        <v>45147</v>
      </c>
      <c r="H347" s="12" t="s">
        <v>9</v>
      </c>
      <c r="I347" s="21" t="str">
        <f>IF(Tabela1[[#This Row],[Data de Saída]]="","",PROPER(TEXT(Tabela1[[#This Row],[Data de Saída]],"mmm")))</f>
        <v>Set</v>
      </c>
      <c r="J347" s="21" t="str">
        <f>IF(Tabela1[[#This Row],[Data de Saída]]="","",PROPER(TEXT(Tabela1[[#This Row],[Data de Saída]],"aaaa")))</f>
        <v>2023</v>
      </c>
      <c r="K347" s="27" t="str">
        <f>IF(Tabela1[[#This Row],[Data Admissão]]="","",PROPER(TEXT(Tabela1[[#This Row],[Data Admissão]],"mmm")))</f>
        <v>Ago</v>
      </c>
      <c r="L347" s="21" t="str">
        <f>IF(Tabela1[[#This Row],[Data Admissão]]="","",PROPER(TEXT(Tabela1[[#This Row],[Data Admissão]],"aaaa")))</f>
        <v>2023</v>
      </c>
      <c r="M347" s="12" t="s">
        <v>597</v>
      </c>
      <c r="N347" s="22" t="str">
        <f>IFERROR(IF(Tabela1[[#This Row],[Data de Saída]]="","ATIVO","-"),"-")</f>
        <v>-</v>
      </c>
    </row>
    <row r="348" spans="5:14" ht="24.95" customHeight="1" x14ac:dyDescent="0.2">
      <c r="E348" s="26" t="s">
        <v>554</v>
      </c>
      <c r="F348" s="20">
        <v>37229</v>
      </c>
      <c r="G348" s="20">
        <v>45147</v>
      </c>
      <c r="H348" s="12" t="s">
        <v>9</v>
      </c>
      <c r="I348" s="21" t="str">
        <f>IF(Tabela1[[#This Row],[Data de Saída]]="","",PROPER(TEXT(Tabela1[[#This Row],[Data de Saída]],"mmm")))</f>
        <v>Set</v>
      </c>
      <c r="J348" s="21" t="str">
        <f>IF(Tabela1[[#This Row],[Data de Saída]]="","",PROPER(TEXT(Tabela1[[#This Row],[Data de Saída]],"aaaa")))</f>
        <v>2023</v>
      </c>
      <c r="K348" s="27" t="str">
        <f>IF(Tabela1[[#This Row],[Data Admissão]]="","",PROPER(TEXT(Tabela1[[#This Row],[Data Admissão]],"mmm")))</f>
        <v>Ago</v>
      </c>
      <c r="L348" s="21" t="str">
        <f>IF(Tabela1[[#This Row],[Data Admissão]]="","",PROPER(TEXT(Tabela1[[#This Row],[Data Admissão]],"aaaa")))</f>
        <v>2023</v>
      </c>
      <c r="M348" s="12" t="s">
        <v>598</v>
      </c>
      <c r="N348" s="22" t="str">
        <f>IFERROR(IF(Tabela1[[#This Row],[Data de Saída]]="","ATIVO","-"),"-")</f>
        <v>-</v>
      </c>
    </row>
    <row r="349" spans="5:14" ht="24.95" customHeight="1" x14ac:dyDescent="0.2">
      <c r="E349" s="26" t="s">
        <v>555</v>
      </c>
      <c r="F349" s="20">
        <v>34003</v>
      </c>
      <c r="G349" s="20">
        <v>45147</v>
      </c>
      <c r="H349" s="12"/>
      <c r="I349" s="21" t="str">
        <f>IF(Tabela1[[#This Row],[Data de Saída]]="","",PROPER(TEXT(Tabela1[[#This Row],[Data de Saída]],"mmm")))</f>
        <v/>
      </c>
      <c r="J349" s="21" t="str">
        <f>IF(Tabela1[[#This Row],[Data de Saída]]="","",PROPER(TEXT(Tabela1[[#This Row],[Data de Saída]],"aaaa")))</f>
        <v/>
      </c>
      <c r="K349" s="27" t="str">
        <f>IF(Tabela1[[#This Row],[Data Admissão]]="","",PROPER(TEXT(Tabela1[[#This Row],[Data Admissão]],"mmm")))</f>
        <v>Ago</v>
      </c>
      <c r="L349" s="21" t="str">
        <f>IF(Tabela1[[#This Row],[Data Admissão]]="","",PROPER(TEXT(Tabela1[[#This Row],[Data Admissão]],"aaaa")))</f>
        <v>2023</v>
      </c>
      <c r="M349" s="12" t="s">
        <v>599</v>
      </c>
      <c r="N349" s="22" t="str">
        <f>IFERROR(IF(Tabela1[[#This Row],[Data de Saída]]="","ATIVO","-"),"-")</f>
        <v>ATIVO</v>
      </c>
    </row>
    <row r="350" spans="5:14" ht="24.95" customHeight="1" x14ac:dyDescent="0.2">
      <c r="E350" s="26" t="s">
        <v>556</v>
      </c>
      <c r="F350" s="20">
        <v>34003</v>
      </c>
      <c r="G350" s="20">
        <v>45147</v>
      </c>
      <c r="H350" s="12" t="s">
        <v>71</v>
      </c>
      <c r="I350" s="21" t="str">
        <f>IF(Tabela1[[#This Row],[Data de Saída]]="","",PROPER(TEXT(Tabela1[[#This Row],[Data de Saída]],"mmm")))</f>
        <v>Nov</v>
      </c>
      <c r="J350" s="21" t="str">
        <f>IF(Tabela1[[#This Row],[Data de Saída]]="","",PROPER(TEXT(Tabela1[[#This Row],[Data de Saída]],"aaaa")))</f>
        <v>2023</v>
      </c>
      <c r="K350" s="27" t="str">
        <f>IF(Tabela1[[#This Row],[Data Admissão]]="","",PROPER(TEXT(Tabela1[[#This Row],[Data Admissão]],"mmm")))</f>
        <v>Ago</v>
      </c>
      <c r="L350" s="21" t="str">
        <f>IF(Tabela1[[#This Row],[Data Admissão]]="","",PROPER(TEXT(Tabela1[[#This Row],[Data Admissão]],"aaaa")))</f>
        <v>2023</v>
      </c>
      <c r="M350" s="12" t="s">
        <v>599</v>
      </c>
      <c r="N350" s="22" t="str">
        <f>IFERROR(IF(Tabela1[[#This Row],[Data de Saída]]="","ATIVO","-"),"-")</f>
        <v>-</v>
      </c>
    </row>
    <row r="351" spans="5:14" ht="24.95" customHeight="1" x14ac:dyDescent="0.2">
      <c r="E351" s="26" t="s">
        <v>557</v>
      </c>
      <c r="F351" s="20">
        <v>36655</v>
      </c>
      <c r="G351" s="20">
        <v>45147</v>
      </c>
      <c r="H351" s="12" t="s">
        <v>75</v>
      </c>
      <c r="I351" s="21" t="str">
        <f>IF(Tabela1[[#This Row],[Data de Saída]]="","",PROPER(TEXT(Tabela1[[#This Row],[Data de Saída]],"mmm")))</f>
        <v>Out</v>
      </c>
      <c r="J351" s="21" t="str">
        <f>IF(Tabela1[[#This Row],[Data de Saída]]="","",PROPER(TEXT(Tabela1[[#This Row],[Data de Saída]],"aaaa")))</f>
        <v>2023</v>
      </c>
      <c r="K351" s="27" t="str">
        <f>IF(Tabela1[[#This Row],[Data Admissão]]="","",PROPER(TEXT(Tabela1[[#This Row],[Data Admissão]],"mmm")))</f>
        <v>Ago</v>
      </c>
      <c r="L351" s="21" t="str">
        <f>IF(Tabela1[[#This Row],[Data Admissão]]="","",PROPER(TEXT(Tabela1[[#This Row],[Data Admissão]],"aaaa")))</f>
        <v>2023</v>
      </c>
      <c r="M351" s="12" t="s">
        <v>599</v>
      </c>
      <c r="N351" s="22" t="str">
        <f>IFERROR(IF(Tabela1[[#This Row],[Data de Saída]]="","ATIVO","-"),"-")</f>
        <v>-</v>
      </c>
    </row>
    <row r="352" spans="5:14" ht="24.95" customHeight="1" x14ac:dyDescent="0.2">
      <c r="E352" s="26" t="s">
        <v>558</v>
      </c>
      <c r="F352" s="20">
        <v>36031</v>
      </c>
      <c r="G352" s="20">
        <v>45147</v>
      </c>
      <c r="H352" s="12" t="s">
        <v>9</v>
      </c>
      <c r="I352" s="21" t="str">
        <f>IF(Tabela1[[#This Row],[Data de Saída]]="","",PROPER(TEXT(Tabela1[[#This Row],[Data de Saída]],"mmm")))</f>
        <v>Set</v>
      </c>
      <c r="J352" s="21" t="str">
        <f>IF(Tabela1[[#This Row],[Data de Saída]]="","",PROPER(TEXT(Tabela1[[#This Row],[Data de Saída]],"aaaa")))</f>
        <v>2023</v>
      </c>
      <c r="K352" s="27" t="str">
        <f>IF(Tabela1[[#This Row],[Data Admissão]]="","",PROPER(TEXT(Tabela1[[#This Row],[Data Admissão]],"mmm")))</f>
        <v>Ago</v>
      </c>
      <c r="L352" s="21" t="str">
        <f>IF(Tabela1[[#This Row],[Data Admissão]]="","",PROPER(TEXT(Tabela1[[#This Row],[Data Admissão]],"aaaa")))</f>
        <v>2023</v>
      </c>
      <c r="M352" s="12" t="s">
        <v>599</v>
      </c>
      <c r="N352" s="22" t="str">
        <f>IFERROR(IF(Tabela1[[#This Row],[Data de Saída]]="","ATIVO","-"),"-")</f>
        <v>-</v>
      </c>
    </row>
    <row r="353" spans="5:14" ht="24.95" customHeight="1" x14ac:dyDescent="0.2">
      <c r="E353" s="26" t="s">
        <v>559</v>
      </c>
      <c r="F353" s="20">
        <v>35059</v>
      </c>
      <c r="G353" s="20">
        <v>45147</v>
      </c>
      <c r="H353" s="12" t="s">
        <v>9</v>
      </c>
      <c r="I353" s="21" t="str">
        <f>IF(Tabela1[[#This Row],[Data de Saída]]="","",PROPER(TEXT(Tabela1[[#This Row],[Data de Saída]],"mmm")))</f>
        <v>Set</v>
      </c>
      <c r="J353" s="21" t="str">
        <f>IF(Tabela1[[#This Row],[Data de Saída]]="","",PROPER(TEXT(Tabela1[[#This Row],[Data de Saída]],"aaaa")))</f>
        <v>2023</v>
      </c>
      <c r="K353" s="27" t="str">
        <f>IF(Tabela1[[#This Row],[Data Admissão]]="","",PROPER(TEXT(Tabela1[[#This Row],[Data Admissão]],"mmm")))</f>
        <v>Ago</v>
      </c>
      <c r="L353" s="21" t="str">
        <f>IF(Tabela1[[#This Row],[Data Admissão]]="","",PROPER(TEXT(Tabela1[[#This Row],[Data Admissão]],"aaaa")))</f>
        <v>2023</v>
      </c>
      <c r="M353" s="12" t="s">
        <v>600</v>
      </c>
      <c r="N353" s="22" t="str">
        <f>IFERROR(IF(Tabela1[[#This Row],[Data de Saída]]="","ATIVO","-"),"-")</f>
        <v>-</v>
      </c>
    </row>
    <row r="354" spans="5:14" ht="24.95" customHeight="1" x14ac:dyDescent="0.2">
      <c r="E354" s="26" t="s">
        <v>560</v>
      </c>
      <c r="F354" s="20">
        <v>35451</v>
      </c>
      <c r="G354" s="20">
        <v>45187</v>
      </c>
      <c r="H354" s="12" t="s">
        <v>10</v>
      </c>
      <c r="I354" s="21" t="str">
        <f>IF(Tabela1[[#This Row],[Data de Saída]]="","",PROPER(TEXT(Tabela1[[#This Row],[Data de Saída]],"mmm")))</f>
        <v>Out</v>
      </c>
      <c r="J354" s="21" t="str">
        <f>IF(Tabela1[[#This Row],[Data de Saída]]="","",PROPER(TEXT(Tabela1[[#This Row],[Data de Saída]],"aaaa")))</f>
        <v>2023</v>
      </c>
      <c r="K354" s="27" t="str">
        <f>IF(Tabela1[[#This Row],[Data Admissão]]="","",PROPER(TEXT(Tabela1[[#This Row],[Data Admissão]],"mmm")))</f>
        <v>Set</v>
      </c>
      <c r="L354" s="21" t="str">
        <f>IF(Tabela1[[#This Row],[Data Admissão]]="","",PROPER(TEXT(Tabela1[[#This Row],[Data Admissão]],"aaaa")))</f>
        <v>2023</v>
      </c>
      <c r="M354" s="12" t="s">
        <v>601</v>
      </c>
      <c r="N354" s="22" t="str">
        <f>IFERROR(IF(Tabela1[[#This Row],[Data de Saída]]="","ATIVO","-"),"-")</f>
        <v>-</v>
      </c>
    </row>
    <row r="355" spans="5:14" ht="24.95" customHeight="1" x14ac:dyDescent="0.2">
      <c r="E355" s="26" t="s">
        <v>561</v>
      </c>
      <c r="F355" s="20">
        <v>32232</v>
      </c>
      <c r="G355" s="20">
        <v>45187</v>
      </c>
      <c r="H355" s="12" t="s">
        <v>11</v>
      </c>
      <c r="I355" s="21" t="str">
        <f>IF(Tabela1[[#This Row],[Data de Saída]]="","",PROPER(TEXT(Tabela1[[#This Row],[Data de Saída]],"mmm")))</f>
        <v>Dez</v>
      </c>
      <c r="J355" s="21" t="str">
        <f>IF(Tabela1[[#This Row],[Data de Saída]]="","",PROPER(TEXT(Tabela1[[#This Row],[Data de Saída]],"aaaa")))</f>
        <v>2023</v>
      </c>
      <c r="K355" s="27" t="str">
        <f>IF(Tabela1[[#This Row],[Data Admissão]]="","",PROPER(TEXT(Tabela1[[#This Row],[Data Admissão]],"mmm")))</f>
        <v>Set</v>
      </c>
      <c r="L355" s="21" t="str">
        <f>IF(Tabela1[[#This Row],[Data Admissão]]="","",PROPER(TEXT(Tabela1[[#This Row],[Data Admissão]],"aaaa")))</f>
        <v>2023</v>
      </c>
      <c r="M355" s="12" t="s">
        <v>602</v>
      </c>
      <c r="N355" s="22" t="str">
        <f>IFERROR(IF(Tabela1[[#This Row],[Data de Saída]]="","ATIVO","-"),"-")</f>
        <v>-</v>
      </c>
    </row>
    <row r="356" spans="5:14" ht="24.95" customHeight="1" x14ac:dyDescent="0.2">
      <c r="E356" s="26" t="s">
        <v>562</v>
      </c>
      <c r="F356" s="20">
        <v>36541</v>
      </c>
      <c r="G356" s="20">
        <v>45187</v>
      </c>
      <c r="H356" s="12"/>
      <c r="I356" s="21" t="str">
        <f>IF(Tabela1[[#This Row],[Data de Saída]]="","",PROPER(TEXT(Tabela1[[#This Row],[Data de Saída]],"mmm")))</f>
        <v/>
      </c>
      <c r="J356" s="21" t="str">
        <f>IF(Tabela1[[#This Row],[Data de Saída]]="","",PROPER(TEXT(Tabela1[[#This Row],[Data de Saída]],"aaaa")))</f>
        <v/>
      </c>
      <c r="K356" s="27" t="str">
        <f>IF(Tabela1[[#This Row],[Data Admissão]]="","",PROPER(TEXT(Tabela1[[#This Row],[Data Admissão]],"mmm")))</f>
        <v>Set</v>
      </c>
      <c r="L356" s="21" t="str">
        <f>IF(Tabela1[[#This Row],[Data Admissão]]="","",PROPER(TEXT(Tabela1[[#This Row],[Data Admissão]],"aaaa")))</f>
        <v>2023</v>
      </c>
      <c r="M356" s="12" t="s">
        <v>594</v>
      </c>
      <c r="N356" s="22" t="str">
        <f>IFERROR(IF(Tabela1[[#This Row],[Data de Saída]]="","ATIVO","-"),"-")</f>
        <v>ATIVO</v>
      </c>
    </row>
    <row r="357" spans="5:14" ht="24.95" customHeight="1" x14ac:dyDescent="0.2">
      <c r="E357" s="26" t="s">
        <v>563</v>
      </c>
      <c r="F357" s="20">
        <v>31021</v>
      </c>
      <c r="G357" s="20">
        <v>45187</v>
      </c>
      <c r="H357" s="12"/>
      <c r="I357" s="21" t="str">
        <f>IF(Tabela1[[#This Row],[Data de Saída]]="","",PROPER(TEXT(Tabela1[[#This Row],[Data de Saída]],"mmm")))</f>
        <v/>
      </c>
      <c r="J357" s="21" t="str">
        <f>IF(Tabela1[[#This Row],[Data de Saída]]="","",PROPER(TEXT(Tabela1[[#This Row],[Data de Saída]],"aaaa")))</f>
        <v/>
      </c>
      <c r="K357" s="27" t="str">
        <f>IF(Tabela1[[#This Row],[Data Admissão]]="","",PROPER(TEXT(Tabela1[[#This Row],[Data Admissão]],"mmm")))</f>
        <v>Set</v>
      </c>
      <c r="L357" s="21" t="str">
        <f>IF(Tabela1[[#This Row],[Data Admissão]]="","",PROPER(TEXT(Tabela1[[#This Row],[Data Admissão]],"aaaa")))</f>
        <v>2023</v>
      </c>
      <c r="M357" s="12" t="s">
        <v>594</v>
      </c>
      <c r="N357" s="22" t="str">
        <f>IFERROR(IF(Tabela1[[#This Row],[Data de Saída]]="","ATIVO","-"),"-")</f>
        <v>ATIVO</v>
      </c>
    </row>
    <row r="358" spans="5:14" ht="24.95" customHeight="1" x14ac:dyDescent="0.2">
      <c r="E358" s="26" t="s">
        <v>564</v>
      </c>
      <c r="F358" s="20">
        <v>34677</v>
      </c>
      <c r="G358" s="20">
        <v>45187</v>
      </c>
      <c r="H358" s="12" t="s">
        <v>11</v>
      </c>
      <c r="I358" s="21" t="str">
        <f>IF(Tabela1[[#This Row],[Data de Saída]]="","",PROPER(TEXT(Tabela1[[#This Row],[Data de Saída]],"mmm")))</f>
        <v>Dez</v>
      </c>
      <c r="J358" s="21" t="str">
        <f>IF(Tabela1[[#This Row],[Data de Saída]]="","",PROPER(TEXT(Tabela1[[#This Row],[Data de Saída]],"aaaa")))</f>
        <v>2023</v>
      </c>
      <c r="K358" s="27" t="str">
        <f>IF(Tabela1[[#This Row],[Data Admissão]]="","",PROPER(TEXT(Tabela1[[#This Row],[Data Admissão]],"mmm")))</f>
        <v>Set</v>
      </c>
      <c r="L358" s="21" t="str">
        <f>IF(Tabela1[[#This Row],[Data Admissão]]="","",PROPER(TEXT(Tabela1[[#This Row],[Data Admissão]],"aaaa")))</f>
        <v>2023</v>
      </c>
      <c r="M358" s="12" t="s">
        <v>595</v>
      </c>
      <c r="N358" s="22" t="str">
        <f>IFERROR(IF(Tabela1[[#This Row],[Data de Saída]]="","ATIVO","-"),"-")</f>
        <v>-</v>
      </c>
    </row>
    <row r="359" spans="5:14" ht="24.95" customHeight="1" x14ac:dyDescent="0.2">
      <c r="E359" s="26" t="s">
        <v>565</v>
      </c>
      <c r="F359" s="20">
        <v>30587</v>
      </c>
      <c r="G359" s="20">
        <v>45187</v>
      </c>
      <c r="H359" s="12" t="s">
        <v>127</v>
      </c>
      <c r="I359" s="21" t="str">
        <f>IF(Tabela1[[#This Row],[Data de Saída]]="","",PROPER(TEXT(Tabela1[[#This Row],[Data de Saída]],"mmm")))</f>
        <v>Set</v>
      </c>
      <c r="J359" s="21" t="str">
        <f>IF(Tabela1[[#This Row],[Data de Saída]]="","",PROPER(TEXT(Tabela1[[#This Row],[Data de Saída]],"aaaa")))</f>
        <v>2023</v>
      </c>
      <c r="K359" s="27" t="str">
        <f>IF(Tabela1[[#This Row],[Data Admissão]]="","",PROPER(TEXT(Tabela1[[#This Row],[Data Admissão]],"mmm")))</f>
        <v>Set</v>
      </c>
      <c r="L359" s="21" t="str">
        <f>IF(Tabela1[[#This Row],[Data Admissão]]="","",PROPER(TEXT(Tabela1[[#This Row],[Data Admissão]],"aaaa")))</f>
        <v>2023</v>
      </c>
      <c r="M359" s="12" t="s">
        <v>596</v>
      </c>
      <c r="N359" s="22" t="str">
        <f>IFERROR(IF(Tabela1[[#This Row],[Data de Saída]]="","ATIVO","-"),"-")</f>
        <v>-</v>
      </c>
    </row>
    <row r="360" spans="5:14" ht="24.95" customHeight="1" x14ac:dyDescent="0.2">
      <c r="E360" s="26" t="s">
        <v>566</v>
      </c>
      <c r="F360" s="20">
        <v>36218</v>
      </c>
      <c r="G360" s="20">
        <v>45187</v>
      </c>
      <c r="H360" s="12" t="s">
        <v>148</v>
      </c>
      <c r="I360" s="21" t="str">
        <f>IF(Tabela1[[#This Row],[Data de Saída]]="","",PROPER(TEXT(Tabela1[[#This Row],[Data de Saída]],"mmm")))</f>
        <v>Out</v>
      </c>
      <c r="J360" s="21" t="str">
        <f>IF(Tabela1[[#This Row],[Data de Saída]]="","",PROPER(TEXT(Tabela1[[#This Row],[Data de Saída]],"aaaa")))</f>
        <v>2023</v>
      </c>
      <c r="K360" s="27" t="str">
        <f>IF(Tabela1[[#This Row],[Data Admissão]]="","",PROPER(TEXT(Tabela1[[#This Row],[Data Admissão]],"mmm")))</f>
        <v>Set</v>
      </c>
      <c r="L360" s="21" t="str">
        <f>IF(Tabela1[[#This Row],[Data Admissão]]="","",PROPER(TEXT(Tabela1[[#This Row],[Data Admissão]],"aaaa")))</f>
        <v>2023</v>
      </c>
      <c r="M360" s="12" t="s">
        <v>597</v>
      </c>
      <c r="N360" s="22" t="str">
        <f>IFERROR(IF(Tabela1[[#This Row],[Data de Saída]]="","ATIVO","-"),"-")</f>
        <v>-</v>
      </c>
    </row>
    <row r="361" spans="5:14" ht="24.95" customHeight="1" x14ac:dyDescent="0.2">
      <c r="E361" s="26" t="s">
        <v>567</v>
      </c>
      <c r="F361" s="20">
        <v>36238</v>
      </c>
      <c r="G361" s="20">
        <v>45187</v>
      </c>
      <c r="H361" s="12" t="s">
        <v>91</v>
      </c>
      <c r="I361" s="21" t="str">
        <f>IF(Tabela1[[#This Row],[Data de Saída]]="","",PROPER(TEXT(Tabela1[[#This Row],[Data de Saída]],"mmm")))</f>
        <v>Nov</v>
      </c>
      <c r="J361" s="21" t="str">
        <f>IF(Tabela1[[#This Row],[Data de Saída]]="","",PROPER(TEXT(Tabela1[[#This Row],[Data de Saída]],"aaaa")))</f>
        <v>2023</v>
      </c>
      <c r="K361" s="27" t="str">
        <f>IF(Tabela1[[#This Row],[Data Admissão]]="","",PROPER(TEXT(Tabela1[[#This Row],[Data Admissão]],"mmm")))</f>
        <v>Set</v>
      </c>
      <c r="L361" s="21" t="str">
        <f>IF(Tabela1[[#This Row],[Data Admissão]]="","",PROPER(TEXT(Tabela1[[#This Row],[Data Admissão]],"aaaa")))</f>
        <v>2023</v>
      </c>
      <c r="M361" s="12" t="s">
        <v>598</v>
      </c>
      <c r="N361" s="22" t="str">
        <f>IFERROR(IF(Tabela1[[#This Row],[Data de Saída]]="","ATIVO","-"),"-")</f>
        <v>-</v>
      </c>
    </row>
    <row r="362" spans="5:14" ht="24.95" customHeight="1" x14ac:dyDescent="0.2">
      <c r="E362" s="26" t="s">
        <v>568</v>
      </c>
      <c r="F362" s="20">
        <v>29472</v>
      </c>
      <c r="G362" s="20">
        <v>45208</v>
      </c>
      <c r="H362" s="12"/>
      <c r="I362" s="21" t="str">
        <f>IF(Tabela1[[#This Row],[Data de Saída]]="","",PROPER(TEXT(Tabela1[[#This Row],[Data de Saída]],"mmm")))</f>
        <v/>
      </c>
      <c r="J362" s="21" t="str">
        <f>IF(Tabela1[[#This Row],[Data de Saída]]="","",PROPER(TEXT(Tabela1[[#This Row],[Data de Saída]],"aaaa")))</f>
        <v/>
      </c>
      <c r="K362" s="27" t="str">
        <f>IF(Tabela1[[#This Row],[Data Admissão]]="","",PROPER(TEXT(Tabela1[[#This Row],[Data Admissão]],"mmm")))</f>
        <v>Out</v>
      </c>
      <c r="L362" s="21" t="str">
        <f>IF(Tabela1[[#This Row],[Data Admissão]]="","",PROPER(TEXT(Tabela1[[#This Row],[Data Admissão]],"aaaa")))</f>
        <v>2023</v>
      </c>
      <c r="M362" s="12" t="s">
        <v>599</v>
      </c>
      <c r="N362" s="22" t="str">
        <f>IFERROR(IF(Tabela1[[#This Row],[Data de Saída]]="","ATIVO","-"),"-")</f>
        <v>ATIVO</v>
      </c>
    </row>
    <row r="363" spans="5:14" ht="24.95" customHeight="1" x14ac:dyDescent="0.2">
      <c r="E363" s="26" t="s">
        <v>569</v>
      </c>
      <c r="F363" s="20">
        <v>35414</v>
      </c>
      <c r="G363" s="20">
        <v>45208</v>
      </c>
      <c r="H363" s="12"/>
      <c r="I363" s="21" t="str">
        <f>IF(Tabela1[[#This Row],[Data de Saída]]="","",PROPER(TEXT(Tabela1[[#This Row],[Data de Saída]],"mmm")))</f>
        <v/>
      </c>
      <c r="J363" s="21" t="str">
        <f>IF(Tabela1[[#This Row],[Data de Saída]]="","",PROPER(TEXT(Tabela1[[#This Row],[Data de Saída]],"aaaa")))</f>
        <v/>
      </c>
      <c r="K363" s="27" t="str">
        <f>IF(Tabela1[[#This Row],[Data Admissão]]="","",PROPER(TEXT(Tabela1[[#This Row],[Data Admissão]],"mmm")))</f>
        <v>Out</v>
      </c>
      <c r="L363" s="21" t="str">
        <f>IF(Tabela1[[#This Row],[Data Admissão]]="","",PROPER(TEXT(Tabela1[[#This Row],[Data Admissão]],"aaaa")))</f>
        <v>2023</v>
      </c>
      <c r="M363" s="12" t="s">
        <v>599</v>
      </c>
      <c r="N363" s="22" t="str">
        <f>IFERROR(IF(Tabela1[[#This Row],[Data de Saída]]="","ATIVO","-"),"-")</f>
        <v>ATIVO</v>
      </c>
    </row>
    <row r="364" spans="5:14" ht="24.95" customHeight="1" x14ac:dyDescent="0.2">
      <c r="E364" s="26" t="s">
        <v>570</v>
      </c>
      <c r="F364" s="20">
        <v>33592</v>
      </c>
      <c r="G364" s="20">
        <v>45208</v>
      </c>
      <c r="H364" s="12"/>
      <c r="I364" s="21" t="str">
        <f>IF(Tabela1[[#This Row],[Data de Saída]]="","",PROPER(TEXT(Tabela1[[#This Row],[Data de Saída]],"mmm")))</f>
        <v/>
      </c>
      <c r="J364" s="21" t="str">
        <f>IF(Tabela1[[#This Row],[Data de Saída]]="","",PROPER(TEXT(Tabela1[[#This Row],[Data de Saída]],"aaaa")))</f>
        <v/>
      </c>
      <c r="K364" s="27" t="str">
        <f>IF(Tabela1[[#This Row],[Data Admissão]]="","",PROPER(TEXT(Tabela1[[#This Row],[Data Admissão]],"mmm")))</f>
        <v>Out</v>
      </c>
      <c r="L364" s="21" t="str">
        <f>IF(Tabela1[[#This Row],[Data Admissão]]="","",PROPER(TEXT(Tabela1[[#This Row],[Data Admissão]],"aaaa")))</f>
        <v>2023</v>
      </c>
      <c r="M364" s="12" t="s">
        <v>599</v>
      </c>
      <c r="N364" s="22" t="str">
        <f>IFERROR(IF(Tabela1[[#This Row],[Data de Saída]]="","ATIVO","-"),"-")</f>
        <v>ATIVO</v>
      </c>
    </row>
    <row r="365" spans="5:14" ht="24.95" customHeight="1" x14ac:dyDescent="0.2">
      <c r="E365" s="26" t="s">
        <v>571</v>
      </c>
      <c r="F365" s="20">
        <v>29073</v>
      </c>
      <c r="G365" s="20">
        <v>45208</v>
      </c>
      <c r="H365" s="12"/>
      <c r="I365" s="21" t="str">
        <f>IF(Tabela1[[#This Row],[Data de Saída]]="","",PROPER(TEXT(Tabela1[[#This Row],[Data de Saída]],"mmm")))</f>
        <v/>
      </c>
      <c r="J365" s="21" t="str">
        <f>IF(Tabela1[[#This Row],[Data de Saída]]="","",PROPER(TEXT(Tabela1[[#This Row],[Data de Saída]],"aaaa")))</f>
        <v/>
      </c>
      <c r="K365" s="27" t="str">
        <f>IF(Tabela1[[#This Row],[Data Admissão]]="","",PROPER(TEXT(Tabela1[[#This Row],[Data Admissão]],"mmm")))</f>
        <v>Out</v>
      </c>
      <c r="L365" s="21" t="str">
        <f>IF(Tabela1[[#This Row],[Data Admissão]]="","",PROPER(TEXT(Tabela1[[#This Row],[Data Admissão]],"aaaa")))</f>
        <v>2023</v>
      </c>
      <c r="M365" s="12" t="s">
        <v>599</v>
      </c>
      <c r="N365" s="22" t="str">
        <f>IFERROR(IF(Tabela1[[#This Row],[Data de Saída]]="","ATIVO","-"),"-")</f>
        <v>ATIVO</v>
      </c>
    </row>
    <row r="366" spans="5:14" ht="24.95" customHeight="1" x14ac:dyDescent="0.2">
      <c r="E366" s="26" t="s">
        <v>572</v>
      </c>
      <c r="F366" s="20">
        <v>36593</v>
      </c>
      <c r="G366" s="20">
        <v>45208</v>
      </c>
      <c r="H366" s="12" t="s">
        <v>71</v>
      </c>
      <c r="I366" s="21" t="str">
        <f>IF(Tabela1[[#This Row],[Data de Saída]]="","",PROPER(TEXT(Tabela1[[#This Row],[Data de Saída]],"mmm")))</f>
        <v>Nov</v>
      </c>
      <c r="J366" s="21" t="str">
        <f>IF(Tabela1[[#This Row],[Data de Saída]]="","",PROPER(TEXT(Tabela1[[#This Row],[Data de Saída]],"aaaa")))</f>
        <v>2023</v>
      </c>
      <c r="K366" s="27" t="str">
        <f>IF(Tabela1[[#This Row],[Data Admissão]]="","",PROPER(TEXT(Tabela1[[#This Row],[Data Admissão]],"mmm")))</f>
        <v>Out</v>
      </c>
      <c r="L366" s="21" t="str">
        <f>IF(Tabela1[[#This Row],[Data Admissão]]="","",PROPER(TEXT(Tabela1[[#This Row],[Data Admissão]],"aaaa")))</f>
        <v>2023</v>
      </c>
      <c r="M366" s="12" t="s">
        <v>600</v>
      </c>
      <c r="N366" s="22" t="str">
        <f>IFERROR(IF(Tabela1[[#This Row],[Data de Saída]]="","ATIVO","-"),"-")</f>
        <v>-</v>
      </c>
    </row>
    <row r="367" spans="5:14" ht="24.95" customHeight="1" x14ac:dyDescent="0.2">
      <c r="E367" s="26" t="s">
        <v>573</v>
      </c>
      <c r="F367" s="20">
        <v>32741</v>
      </c>
      <c r="G367" s="20">
        <v>45208</v>
      </c>
      <c r="H367" s="12" t="s">
        <v>91</v>
      </c>
      <c r="I367" s="21" t="str">
        <f>IF(Tabela1[[#This Row],[Data de Saída]]="","",PROPER(TEXT(Tabela1[[#This Row],[Data de Saída]],"mmm")))</f>
        <v>Nov</v>
      </c>
      <c r="J367" s="21" t="str">
        <f>IF(Tabela1[[#This Row],[Data de Saída]]="","",PROPER(TEXT(Tabela1[[#This Row],[Data de Saída]],"aaaa")))</f>
        <v>2023</v>
      </c>
      <c r="K367" s="27" t="str">
        <f>IF(Tabela1[[#This Row],[Data Admissão]]="","",PROPER(TEXT(Tabela1[[#This Row],[Data Admissão]],"mmm")))</f>
        <v>Out</v>
      </c>
      <c r="L367" s="21" t="str">
        <f>IF(Tabela1[[#This Row],[Data Admissão]]="","",PROPER(TEXT(Tabela1[[#This Row],[Data Admissão]],"aaaa")))</f>
        <v>2023</v>
      </c>
      <c r="M367" s="12" t="s">
        <v>601</v>
      </c>
      <c r="N367" s="22" t="str">
        <f>IFERROR(IF(Tabela1[[#This Row],[Data de Saída]]="","ATIVO","-"),"-")</f>
        <v>-</v>
      </c>
    </row>
    <row r="368" spans="5:14" ht="24.95" customHeight="1" x14ac:dyDescent="0.2">
      <c r="E368" s="26" t="s">
        <v>574</v>
      </c>
      <c r="F368" s="20">
        <v>30616</v>
      </c>
      <c r="G368" s="20">
        <v>45208</v>
      </c>
      <c r="H368" s="12"/>
      <c r="I368" s="21" t="str">
        <f>IF(Tabela1[[#This Row],[Data de Saída]]="","",PROPER(TEXT(Tabela1[[#This Row],[Data de Saída]],"mmm")))</f>
        <v/>
      </c>
      <c r="J368" s="21" t="str">
        <f>IF(Tabela1[[#This Row],[Data de Saída]]="","",PROPER(TEXT(Tabela1[[#This Row],[Data de Saída]],"aaaa")))</f>
        <v/>
      </c>
      <c r="K368" s="27" t="str">
        <f>IF(Tabela1[[#This Row],[Data Admissão]]="","",PROPER(TEXT(Tabela1[[#This Row],[Data Admissão]],"mmm")))</f>
        <v>Out</v>
      </c>
      <c r="L368" s="21" t="str">
        <f>IF(Tabela1[[#This Row],[Data Admissão]]="","",PROPER(TEXT(Tabela1[[#This Row],[Data Admissão]],"aaaa")))</f>
        <v>2023</v>
      </c>
      <c r="M368" s="12" t="s">
        <v>602</v>
      </c>
      <c r="N368" s="22" t="str">
        <f>IFERROR(IF(Tabela1[[#This Row],[Data de Saída]]="","ATIVO","-"),"-")</f>
        <v>ATIVO</v>
      </c>
    </row>
    <row r="369" spans="5:14" ht="24.95" customHeight="1" x14ac:dyDescent="0.2">
      <c r="E369" s="26" t="s">
        <v>575</v>
      </c>
      <c r="F369" s="20">
        <v>31568</v>
      </c>
      <c r="G369" s="20">
        <v>45208</v>
      </c>
      <c r="H369" s="12"/>
      <c r="I369" s="21" t="str">
        <f>IF(Tabela1[[#This Row],[Data de Saída]]="","",PROPER(TEXT(Tabela1[[#This Row],[Data de Saída]],"mmm")))</f>
        <v/>
      </c>
      <c r="J369" s="21" t="str">
        <f>IF(Tabela1[[#This Row],[Data de Saída]]="","",PROPER(TEXT(Tabela1[[#This Row],[Data de Saída]],"aaaa")))</f>
        <v/>
      </c>
      <c r="K369" s="27" t="str">
        <f>IF(Tabela1[[#This Row],[Data Admissão]]="","",PROPER(TEXT(Tabela1[[#This Row],[Data Admissão]],"mmm")))</f>
        <v>Out</v>
      </c>
      <c r="L369" s="21" t="str">
        <f>IF(Tabela1[[#This Row],[Data Admissão]]="","",PROPER(TEXT(Tabela1[[#This Row],[Data Admissão]],"aaaa")))</f>
        <v>2023</v>
      </c>
      <c r="M369" s="12" t="s">
        <v>594</v>
      </c>
      <c r="N369" s="22" t="str">
        <f>IFERROR(IF(Tabela1[[#This Row],[Data de Saída]]="","ATIVO","-"),"-")</f>
        <v>ATIVO</v>
      </c>
    </row>
    <row r="370" spans="5:14" ht="24.95" customHeight="1" x14ac:dyDescent="0.2">
      <c r="E370" s="26" t="s">
        <v>576</v>
      </c>
      <c r="F370" s="20">
        <v>33848</v>
      </c>
      <c r="G370" s="20">
        <v>45208</v>
      </c>
      <c r="H370" s="12" t="s">
        <v>140</v>
      </c>
      <c r="I370" s="21" t="str">
        <f>IF(Tabela1[[#This Row],[Data de Saída]]="","",PROPER(TEXT(Tabela1[[#This Row],[Data de Saída]],"mmm")))</f>
        <v>Jan</v>
      </c>
      <c r="J370" s="21" t="str">
        <f>IF(Tabela1[[#This Row],[Data de Saída]]="","",PROPER(TEXT(Tabela1[[#This Row],[Data de Saída]],"aaaa")))</f>
        <v>2024</v>
      </c>
      <c r="K370" s="27" t="str">
        <f>IF(Tabela1[[#This Row],[Data Admissão]]="","",PROPER(TEXT(Tabela1[[#This Row],[Data Admissão]],"mmm")))</f>
        <v>Out</v>
      </c>
      <c r="L370" s="21" t="str">
        <f>IF(Tabela1[[#This Row],[Data Admissão]]="","",PROPER(TEXT(Tabela1[[#This Row],[Data Admissão]],"aaaa")))</f>
        <v>2023</v>
      </c>
      <c r="M370" s="12" t="s">
        <v>594</v>
      </c>
      <c r="N370" s="22" t="str">
        <f>IFERROR(IF(Tabela1[[#This Row],[Data de Saída]]="","ATIVO","-"),"-")</f>
        <v>-</v>
      </c>
    </row>
    <row r="371" spans="5:14" ht="24.95" customHeight="1" x14ac:dyDescent="0.2">
      <c r="E371" s="26" t="s">
        <v>577</v>
      </c>
      <c r="F371" s="20">
        <v>37172</v>
      </c>
      <c r="G371" s="20">
        <v>45208</v>
      </c>
      <c r="H371" s="12" t="s">
        <v>109</v>
      </c>
      <c r="I371" s="21" t="str">
        <f>IF(Tabela1[[#This Row],[Data de Saída]]="","",PROPER(TEXT(Tabela1[[#This Row],[Data de Saída]],"mmm")))</f>
        <v>Jan</v>
      </c>
      <c r="J371" s="21" t="str">
        <f>IF(Tabela1[[#This Row],[Data de Saída]]="","",PROPER(TEXT(Tabela1[[#This Row],[Data de Saída]],"aaaa")))</f>
        <v>2024</v>
      </c>
      <c r="K371" s="27" t="str">
        <f>IF(Tabela1[[#This Row],[Data Admissão]]="","",PROPER(TEXT(Tabela1[[#This Row],[Data Admissão]],"mmm")))</f>
        <v>Out</v>
      </c>
      <c r="L371" s="21" t="str">
        <f>IF(Tabela1[[#This Row],[Data Admissão]]="","",PROPER(TEXT(Tabela1[[#This Row],[Data Admissão]],"aaaa")))</f>
        <v>2023</v>
      </c>
      <c r="M371" s="12" t="s">
        <v>595</v>
      </c>
      <c r="N371" s="22" t="str">
        <f>IFERROR(IF(Tabela1[[#This Row],[Data de Saída]]="","ATIVO","-"),"-")</f>
        <v>-</v>
      </c>
    </row>
    <row r="372" spans="5:14" ht="24.95" customHeight="1" x14ac:dyDescent="0.2">
      <c r="E372" s="26" t="s">
        <v>578</v>
      </c>
      <c r="F372" s="20">
        <v>36460</v>
      </c>
      <c r="G372" s="20">
        <v>45208</v>
      </c>
      <c r="H372" s="12"/>
      <c r="I372" s="21" t="str">
        <f>IF(Tabela1[[#This Row],[Data de Saída]]="","",PROPER(TEXT(Tabela1[[#This Row],[Data de Saída]],"mmm")))</f>
        <v/>
      </c>
      <c r="J372" s="21" t="str">
        <f>IF(Tabela1[[#This Row],[Data de Saída]]="","",PROPER(TEXT(Tabela1[[#This Row],[Data de Saída]],"aaaa")))</f>
        <v/>
      </c>
      <c r="K372" s="27" t="str">
        <f>IF(Tabela1[[#This Row],[Data Admissão]]="","",PROPER(TEXT(Tabela1[[#This Row],[Data Admissão]],"mmm")))</f>
        <v>Out</v>
      </c>
      <c r="L372" s="21" t="str">
        <f>IF(Tabela1[[#This Row],[Data Admissão]]="","",PROPER(TEXT(Tabela1[[#This Row],[Data Admissão]],"aaaa")))</f>
        <v>2023</v>
      </c>
      <c r="M372" s="12" t="s">
        <v>596</v>
      </c>
      <c r="N372" s="22" t="str">
        <f>IFERROR(IF(Tabela1[[#This Row],[Data de Saída]]="","ATIVO","-"),"-")</f>
        <v>ATIVO</v>
      </c>
    </row>
    <row r="373" spans="5:14" ht="24.95" customHeight="1" x14ac:dyDescent="0.2">
      <c r="E373" s="26" t="s">
        <v>579</v>
      </c>
      <c r="F373" s="20">
        <v>37700</v>
      </c>
      <c r="G373" s="20">
        <v>45208</v>
      </c>
      <c r="H373" s="12"/>
      <c r="I373" s="21" t="str">
        <f>IF(Tabela1[[#This Row],[Data de Saída]]="","",PROPER(TEXT(Tabela1[[#This Row],[Data de Saída]],"mmm")))</f>
        <v/>
      </c>
      <c r="J373" s="21" t="str">
        <f>IF(Tabela1[[#This Row],[Data de Saída]]="","",PROPER(TEXT(Tabela1[[#This Row],[Data de Saída]],"aaaa")))</f>
        <v/>
      </c>
      <c r="K373" s="27" t="str">
        <f>IF(Tabela1[[#This Row],[Data Admissão]]="","",PROPER(TEXT(Tabela1[[#This Row],[Data Admissão]],"mmm")))</f>
        <v>Out</v>
      </c>
      <c r="L373" s="21" t="str">
        <f>IF(Tabela1[[#This Row],[Data Admissão]]="","",PROPER(TEXT(Tabela1[[#This Row],[Data Admissão]],"aaaa")))</f>
        <v>2023</v>
      </c>
      <c r="M373" s="12" t="s">
        <v>597</v>
      </c>
      <c r="N373" s="22" t="str">
        <f>IFERROR(IF(Tabela1[[#This Row],[Data de Saída]]="","ATIVO","-"),"-")</f>
        <v>ATIVO</v>
      </c>
    </row>
    <row r="374" spans="5:14" ht="24.95" customHeight="1" x14ac:dyDescent="0.2">
      <c r="E374" s="26" t="s">
        <v>580</v>
      </c>
      <c r="F374" s="20">
        <v>34764</v>
      </c>
      <c r="G374" s="20">
        <v>45208</v>
      </c>
      <c r="H374" s="12" t="s">
        <v>162</v>
      </c>
      <c r="I374" s="21" t="str">
        <f>IF(Tabela1[[#This Row],[Data de Saída]]="","",PROPER(TEXT(Tabela1[[#This Row],[Data de Saída]],"mmm")))</f>
        <v>Out</v>
      </c>
      <c r="J374" s="21" t="str">
        <f>IF(Tabela1[[#This Row],[Data de Saída]]="","",PROPER(TEXT(Tabela1[[#This Row],[Data de Saída]],"aaaa")))</f>
        <v>2023</v>
      </c>
      <c r="K374" s="27" t="str">
        <f>IF(Tabela1[[#This Row],[Data Admissão]]="","",PROPER(TEXT(Tabela1[[#This Row],[Data Admissão]],"mmm")))</f>
        <v>Out</v>
      </c>
      <c r="L374" s="21" t="str">
        <f>IF(Tabela1[[#This Row],[Data Admissão]]="","",PROPER(TEXT(Tabela1[[#This Row],[Data Admissão]],"aaaa")))</f>
        <v>2023</v>
      </c>
      <c r="M374" s="12" t="s">
        <v>598</v>
      </c>
      <c r="N374" s="22" t="str">
        <f>IFERROR(IF(Tabela1[[#This Row],[Data de Saída]]="","ATIVO","-"),"-")</f>
        <v>-</v>
      </c>
    </row>
    <row r="375" spans="5:14" ht="24.95" customHeight="1" x14ac:dyDescent="0.2">
      <c r="E375" s="26" t="s">
        <v>581</v>
      </c>
      <c r="F375" s="20">
        <v>35688</v>
      </c>
      <c r="G375" s="20">
        <v>45209</v>
      </c>
      <c r="H375" s="12" t="s">
        <v>38</v>
      </c>
      <c r="I375" s="21" t="str">
        <f>IF(Tabela1[[#This Row],[Data de Saída]]="","",PROPER(TEXT(Tabela1[[#This Row],[Data de Saída]],"mmm")))</f>
        <v>Nov</v>
      </c>
      <c r="J375" s="21" t="str">
        <f>IF(Tabela1[[#This Row],[Data de Saída]]="","",PROPER(TEXT(Tabela1[[#This Row],[Data de Saída]],"aaaa")))</f>
        <v>2023</v>
      </c>
      <c r="K375" s="27" t="str">
        <f>IF(Tabela1[[#This Row],[Data Admissão]]="","",PROPER(TEXT(Tabela1[[#This Row],[Data Admissão]],"mmm")))</f>
        <v>Out</v>
      </c>
      <c r="L375" s="21" t="str">
        <f>IF(Tabela1[[#This Row],[Data Admissão]]="","",PROPER(TEXT(Tabela1[[#This Row],[Data Admissão]],"aaaa")))</f>
        <v>2023</v>
      </c>
      <c r="M375" s="12" t="s">
        <v>599</v>
      </c>
      <c r="N375" s="22" t="str">
        <f>IFERROR(IF(Tabela1[[#This Row],[Data de Saída]]="","ATIVO","-"),"-")</f>
        <v>-</v>
      </c>
    </row>
    <row r="376" spans="5:14" ht="24.95" customHeight="1" x14ac:dyDescent="0.2">
      <c r="E376" s="26" t="s">
        <v>582</v>
      </c>
      <c r="F376" s="20">
        <v>35823</v>
      </c>
      <c r="G376" s="20">
        <v>45209</v>
      </c>
      <c r="H376" s="12" t="s">
        <v>38</v>
      </c>
      <c r="I376" s="21" t="str">
        <f>IF(Tabela1[[#This Row],[Data de Saída]]="","",PROPER(TEXT(Tabela1[[#This Row],[Data de Saída]],"mmm")))</f>
        <v>Nov</v>
      </c>
      <c r="J376" s="21" t="str">
        <f>IF(Tabela1[[#This Row],[Data de Saída]]="","",PROPER(TEXT(Tabela1[[#This Row],[Data de Saída]],"aaaa")))</f>
        <v>2023</v>
      </c>
      <c r="K376" s="27" t="str">
        <f>IF(Tabela1[[#This Row],[Data Admissão]]="","",PROPER(TEXT(Tabela1[[#This Row],[Data Admissão]],"mmm")))</f>
        <v>Out</v>
      </c>
      <c r="L376" s="21" t="str">
        <f>IF(Tabela1[[#This Row],[Data Admissão]]="","",PROPER(TEXT(Tabela1[[#This Row],[Data Admissão]],"aaaa")))</f>
        <v>2023</v>
      </c>
      <c r="M376" s="12" t="s">
        <v>599</v>
      </c>
      <c r="N376" s="22" t="str">
        <f>IFERROR(IF(Tabela1[[#This Row],[Data de Saída]]="","ATIVO","-"),"-")</f>
        <v>-</v>
      </c>
    </row>
    <row r="377" spans="5:14" ht="24.95" customHeight="1" x14ac:dyDescent="0.2">
      <c r="E377" s="26" t="s">
        <v>583</v>
      </c>
      <c r="F377" s="20">
        <v>37693</v>
      </c>
      <c r="G377" s="20">
        <v>45209</v>
      </c>
      <c r="H377" s="12" t="s">
        <v>38</v>
      </c>
      <c r="I377" s="21" t="str">
        <f>IF(Tabela1[[#This Row],[Data de Saída]]="","",PROPER(TEXT(Tabela1[[#This Row],[Data de Saída]],"mmm")))</f>
        <v>Nov</v>
      </c>
      <c r="J377" s="21" t="str">
        <f>IF(Tabela1[[#This Row],[Data de Saída]]="","",PROPER(TEXT(Tabela1[[#This Row],[Data de Saída]],"aaaa")))</f>
        <v>2023</v>
      </c>
      <c r="K377" s="27" t="str">
        <f>IF(Tabela1[[#This Row],[Data Admissão]]="","",PROPER(TEXT(Tabela1[[#This Row],[Data Admissão]],"mmm")))</f>
        <v>Out</v>
      </c>
      <c r="L377" s="21" t="str">
        <f>IF(Tabela1[[#This Row],[Data Admissão]]="","",PROPER(TEXT(Tabela1[[#This Row],[Data Admissão]],"aaaa")))</f>
        <v>2023</v>
      </c>
      <c r="M377" s="12" t="s">
        <v>599</v>
      </c>
      <c r="N377" s="22" t="str">
        <f>IFERROR(IF(Tabela1[[#This Row],[Data de Saída]]="","ATIVO","-"),"-")</f>
        <v>-</v>
      </c>
    </row>
    <row r="378" spans="5:14" ht="24.95" customHeight="1" x14ac:dyDescent="0.2">
      <c r="E378" s="26" t="s">
        <v>584</v>
      </c>
      <c r="F378" s="20">
        <v>28938</v>
      </c>
      <c r="G378" s="20">
        <v>45209</v>
      </c>
      <c r="H378" s="12" t="s">
        <v>119</v>
      </c>
      <c r="I378" s="21" t="str">
        <f>IF(Tabela1[[#This Row],[Data de Saída]]="","",PROPER(TEXT(Tabela1[[#This Row],[Data de Saída]],"mmm")))</f>
        <v>Out</v>
      </c>
      <c r="J378" s="21" t="str">
        <f>IF(Tabela1[[#This Row],[Data de Saída]]="","",PROPER(TEXT(Tabela1[[#This Row],[Data de Saída]],"aaaa")))</f>
        <v>2023</v>
      </c>
      <c r="K378" s="27" t="str">
        <f>IF(Tabela1[[#This Row],[Data Admissão]]="","",PROPER(TEXT(Tabela1[[#This Row],[Data Admissão]],"mmm")))</f>
        <v>Out</v>
      </c>
      <c r="L378" s="21" t="str">
        <f>IF(Tabela1[[#This Row],[Data Admissão]]="","",PROPER(TEXT(Tabela1[[#This Row],[Data Admissão]],"aaaa")))</f>
        <v>2023</v>
      </c>
      <c r="M378" s="12" t="s">
        <v>599</v>
      </c>
      <c r="N378" s="22" t="str">
        <f>IFERROR(IF(Tabela1[[#This Row],[Data de Saída]]="","ATIVO","-"),"-")</f>
        <v>-</v>
      </c>
    </row>
    <row r="379" spans="5:14" ht="24.95" customHeight="1" x14ac:dyDescent="0.2">
      <c r="E379" s="26" t="s">
        <v>585</v>
      </c>
      <c r="F379" s="20">
        <v>34647</v>
      </c>
      <c r="G379" s="20">
        <v>45210</v>
      </c>
      <c r="H379" s="12"/>
      <c r="I379" s="21" t="str">
        <f>IF(Tabela1[[#This Row],[Data de Saída]]="","",PROPER(TEXT(Tabela1[[#This Row],[Data de Saída]],"mmm")))</f>
        <v/>
      </c>
      <c r="J379" s="21" t="str">
        <f>IF(Tabela1[[#This Row],[Data de Saída]]="","",PROPER(TEXT(Tabela1[[#This Row],[Data de Saída]],"aaaa")))</f>
        <v/>
      </c>
      <c r="K379" s="27" t="str">
        <f>IF(Tabela1[[#This Row],[Data Admissão]]="","",PROPER(TEXT(Tabela1[[#This Row],[Data Admissão]],"mmm")))</f>
        <v>Out</v>
      </c>
      <c r="L379" s="21" t="str">
        <f>IF(Tabela1[[#This Row],[Data Admissão]]="","",PROPER(TEXT(Tabela1[[#This Row],[Data Admissão]],"aaaa")))</f>
        <v>2023</v>
      </c>
      <c r="M379" s="12" t="s">
        <v>600</v>
      </c>
      <c r="N379" s="22" t="str">
        <f>IFERROR(IF(Tabela1[[#This Row],[Data de Saída]]="","ATIVO","-"),"-")</f>
        <v>ATIVO</v>
      </c>
    </row>
    <row r="380" spans="5:14" ht="24.95" customHeight="1" x14ac:dyDescent="0.2">
      <c r="E380" s="26" t="s">
        <v>586</v>
      </c>
      <c r="F380" s="20">
        <v>34089</v>
      </c>
      <c r="G380" s="20">
        <v>45218</v>
      </c>
      <c r="H380" s="12"/>
      <c r="I380" s="21" t="str">
        <f>IF(Tabela1[[#This Row],[Data de Saída]]="","",PROPER(TEXT(Tabela1[[#This Row],[Data de Saída]],"mmm")))</f>
        <v/>
      </c>
      <c r="J380" s="21" t="str">
        <f>IF(Tabela1[[#This Row],[Data de Saída]]="","",PROPER(TEXT(Tabela1[[#This Row],[Data de Saída]],"aaaa")))</f>
        <v/>
      </c>
      <c r="K380" s="27" t="str">
        <f>IF(Tabela1[[#This Row],[Data Admissão]]="","",PROPER(TEXT(Tabela1[[#This Row],[Data Admissão]],"mmm")))</f>
        <v>Out</v>
      </c>
      <c r="L380" s="21" t="str">
        <f>IF(Tabela1[[#This Row],[Data Admissão]]="","",PROPER(TEXT(Tabela1[[#This Row],[Data Admissão]],"aaaa")))</f>
        <v>2023</v>
      </c>
      <c r="M380" s="12" t="s">
        <v>601</v>
      </c>
      <c r="N380" s="22" t="str">
        <f>IFERROR(IF(Tabela1[[#This Row],[Data de Saída]]="","ATIVO","-"),"-")</f>
        <v>ATIVO</v>
      </c>
    </row>
    <row r="381" spans="5:14" ht="24.95" customHeight="1" x14ac:dyDescent="0.2">
      <c r="E381" s="26" t="s">
        <v>587</v>
      </c>
      <c r="F381" s="20">
        <v>37220</v>
      </c>
      <c r="G381" s="20">
        <v>45222</v>
      </c>
      <c r="H381" s="12" t="s">
        <v>129</v>
      </c>
      <c r="I381" s="21" t="str">
        <f>IF(Tabela1[[#This Row],[Data de Saída]]="","",PROPER(TEXT(Tabela1[[#This Row],[Data de Saída]],"mmm")))</f>
        <v>Nov</v>
      </c>
      <c r="J381" s="21" t="str">
        <f>IF(Tabela1[[#This Row],[Data de Saída]]="","",PROPER(TEXT(Tabela1[[#This Row],[Data de Saída]],"aaaa")))</f>
        <v>2023</v>
      </c>
      <c r="K381" s="27" t="str">
        <f>IF(Tabela1[[#This Row],[Data Admissão]]="","",PROPER(TEXT(Tabela1[[#This Row],[Data Admissão]],"mmm")))</f>
        <v>Out</v>
      </c>
      <c r="L381" s="21" t="str">
        <f>IF(Tabela1[[#This Row],[Data Admissão]]="","",PROPER(TEXT(Tabela1[[#This Row],[Data Admissão]],"aaaa")))</f>
        <v>2023</v>
      </c>
      <c r="M381" s="12" t="s">
        <v>602</v>
      </c>
      <c r="N381" s="22" t="str">
        <f>IFERROR(IF(Tabela1[[#This Row],[Data de Saída]]="","ATIVO","-"),"-")</f>
        <v>-</v>
      </c>
    </row>
    <row r="382" spans="5:14" ht="24.95" customHeight="1" x14ac:dyDescent="0.2">
      <c r="E382" s="26" t="s">
        <v>588</v>
      </c>
      <c r="F382" s="20">
        <v>37584</v>
      </c>
      <c r="G382" s="20">
        <v>45231</v>
      </c>
      <c r="H382" s="12" t="s">
        <v>120</v>
      </c>
      <c r="I382" s="21" t="str">
        <f>IF(Tabela1[[#This Row],[Data de Saída]]="","",PROPER(TEXT(Tabela1[[#This Row],[Data de Saída]],"mmm")))</f>
        <v>Nov</v>
      </c>
      <c r="J382" s="21" t="str">
        <f>IF(Tabela1[[#This Row],[Data de Saída]]="","",PROPER(TEXT(Tabela1[[#This Row],[Data de Saída]],"aaaa")))</f>
        <v>2023</v>
      </c>
      <c r="K382" s="27" t="str">
        <f>IF(Tabela1[[#This Row],[Data Admissão]]="","",PROPER(TEXT(Tabela1[[#This Row],[Data Admissão]],"mmm")))</f>
        <v>Nov</v>
      </c>
      <c r="L382" s="21" t="str">
        <f>IF(Tabela1[[#This Row],[Data Admissão]]="","",PROPER(TEXT(Tabela1[[#This Row],[Data Admissão]],"aaaa")))</f>
        <v>2023</v>
      </c>
      <c r="M382" s="12" t="s">
        <v>594</v>
      </c>
      <c r="N382" s="22" t="str">
        <f>IFERROR(IF(Tabela1[[#This Row],[Data de Saída]]="","ATIVO","-"),"-")</f>
        <v>-</v>
      </c>
    </row>
    <row r="383" spans="5:14" ht="24.95" customHeight="1" x14ac:dyDescent="0.2">
      <c r="E383" s="26" t="s">
        <v>589</v>
      </c>
      <c r="F383" s="20">
        <v>35772</v>
      </c>
      <c r="G383" s="20">
        <v>45306</v>
      </c>
      <c r="H383" s="12"/>
      <c r="I383" s="21" t="str">
        <f>IF(Tabela1[[#This Row],[Data de Saída]]="","",PROPER(TEXT(Tabela1[[#This Row],[Data de Saída]],"mmm")))</f>
        <v/>
      </c>
      <c r="J383" s="21" t="str">
        <f>IF(Tabela1[[#This Row],[Data de Saída]]="","",PROPER(TEXT(Tabela1[[#This Row],[Data de Saída]],"aaaa")))</f>
        <v/>
      </c>
      <c r="K383" s="27" t="str">
        <f>IF(Tabela1[[#This Row],[Data Admissão]]="","",PROPER(TEXT(Tabela1[[#This Row],[Data Admissão]],"mmm")))</f>
        <v>Jan</v>
      </c>
      <c r="L383" s="21" t="str">
        <f>IF(Tabela1[[#This Row],[Data Admissão]]="","",PROPER(TEXT(Tabela1[[#This Row],[Data Admissão]],"aaaa")))</f>
        <v>2024</v>
      </c>
      <c r="M383" s="12" t="s">
        <v>601</v>
      </c>
      <c r="N383" s="22" t="str">
        <f>IFERROR(IF(Tabela1[[#This Row],[Data de Saída]]="","ATIVO","-"),"-")</f>
        <v>ATIVO</v>
      </c>
    </row>
    <row r="384" spans="5:14" ht="24.95" customHeight="1" x14ac:dyDescent="0.2">
      <c r="E384" s="26" t="s">
        <v>590</v>
      </c>
      <c r="F384" s="20">
        <v>35921</v>
      </c>
      <c r="G384" s="20">
        <v>45306</v>
      </c>
      <c r="H384" s="12"/>
      <c r="I384" s="21" t="str">
        <f>IF(Tabela1[[#This Row],[Data de Saída]]="","",PROPER(TEXT(Tabela1[[#This Row],[Data de Saída]],"mmm")))</f>
        <v/>
      </c>
      <c r="J384" s="21" t="str">
        <f>IF(Tabela1[[#This Row],[Data de Saída]]="","",PROPER(TEXT(Tabela1[[#This Row],[Data de Saída]],"aaaa")))</f>
        <v/>
      </c>
      <c r="K384" s="27" t="str">
        <f>IF(Tabela1[[#This Row],[Data Admissão]]="","",PROPER(TEXT(Tabela1[[#This Row],[Data Admissão]],"mmm")))</f>
        <v>Jan</v>
      </c>
      <c r="L384" s="21" t="str">
        <f>IF(Tabela1[[#This Row],[Data Admissão]]="","",PROPER(TEXT(Tabela1[[#This Row],[Data Admissão]],"aaaa")))</f>
        <v>2024</v>
      </c>
      <c r="M384" s="12" t="s">
        <v>602</v>
      </c>
      <c r="N384" s="22" t="str">
        <f>IFERROR(IF(Tabela1[[#This Row],[Data de Saída]]="","ATIVO","-"),"-")</f>
        <v>ATIVO</v>
      </c>
    </row>
    <row r="385" spans="5:14" ht="24.95" customHeight="1" x14ac:dyDescent="0.2">
      <c r="E385" s="26" t="s">
        <v>591</v>
      </c>
      <c r="F385" s="23">
        <v>31010</v>
      </c>
      <c r="G385" s="20">
        <v>45306</v>
      </c>
      <c r="H385" s="15"/>
      <c r="I385" s="24" t="str">
        <f>IF(Tabela1[[#This Row],[Data de Saída]]="","",PROPER(TEXT(Tabela1[[#This Row],[Data de Saída]],"mmm")))</f>
        <v/>
      </c>
      <c r="J385" s="24" t="str">
        <f>IF(Tabela1[[#This Row],[Data de Saída]]="","",PROPER(TEXT(Tabela1[[#This Row],[Data de Saída]],"aaaa")))</f>
        <v/>
      </c>
      <c r="K385" s="28" t="str">
        <f>IF(Tabela1[[#This Row],[Data Admissão]]="","",PROPER(TEXT(Tabela1[[#This Row],[Data Admissão]],"mmm")))</f>
        <v>Jan</v>
      </c>
      <c r="L385" s="24" t="str">
        <f>IF(Tabela1[[#This Row],[Data Admissão]]="","",PROPER(TEXT(Tabela1[[#This Row],[Data Admissão]],"aaaa")))</f>
        <v>2024</v>
      </c>
      <c r="M385" s="15" t="s">
        <v>594</v>
      </c>
      <c r="N385" s="25" t="str">
        <f>IFERROR(IF(Tabela1[[#This Row],[Data de Saída]]="","ATIVO","-"),"-")</f>
        <v>ATIVO</v>
      </c>
    </row>
    <row r="386" spans="5:14" ht="24.95" customHeight="1" x14ac:dyDescent="0.2">
      <c r="E386" s="53" t="s">
        <v>622</v>
      </c>
      <c r="F386" s="23">
        <v>31010</v>
      </c>
      <c r="G386" s="23">
        <v>45306</v>
      </c>
      <c r="H386" s="15"/>
      <c r="I386" s="54" t="str">
        <f>IF(Tabela1[[#This Row],[Data de Saída]]="","",PROPER(TEXT(Tabela1[[#This Row],[Data de Saída]],"mmm")))</f>
        <v/>
      </c>
      <c r="J386" s="54" t="str">
        <f>IF(Tabela1[[#This Row],[Data de Saída]]="","",PROPER(TEXT(Tabela1[[#This Row],[Data de Saída]],"aaaa")))</f>
        <v/>
      </c>
      <c r="K386" s="55" t="str">
        <f>IF(Tabela1[[#This Row],[Data Admissão]]="","",PROPER(TEXT(Tabela1[[#This Row],[Data Admissão]],"mmm")))</f>
        <v>Jan</v>
      </c>
      <c r="L386" s="54" t="str">
        <f>IF(Tabela1[[#This Row],[Data Admissão]]="","",PROPER(TEXT(Tabela1[[#This Row],[Data Admissão]],"aaaa")))</f>
        <v>2024</v>
      </c>
      <c r="M386" s="15" t="s">
        <v>602</v>
      </c>
      <c r="N386" s="25" t="str">
        <f>IFERROR(IF(Tabela1[[#This Row],[Data de Saída]]="","ATIVO","-"),"-")</f>
        <v>ATIVO</v>
      </c>
    </row>
  </sheetData>
  <sheetProtection algorithmName="SHA-512" hashValue="x5kwIuFaA7ixPJCNK4+OyEmnnFM6GUDmxgRkKQgjLpiACebp3NMN7nNutDm9mXEC/Egqs8JkmRdCl9cnNd+I3Q==" saltValue="of9G42ZOk9MLVE33en7TWQ==" spinCount="100000" objects="1" scenarios="1"/>
  <phoneticPr fontId="16" type="noConversion"/>
  <conditionalFormatting sqref="N3:N1048576">
    <cfRule type="cellIs" dxfId="284" priority="1" operator="equal">
      <formula>"ATIVO"</formula>
    </cfRule>
  </conditionalFormatting>
  <pageMargins left="0.78740157480314954" right="0.78740157480314954" top="1.0826771653543306" bottom="1.0826771653543306" header="0.78740157480314954" footer="0.78740157480314954"/>
  <pageSetup paperSize="9" fitToWidth="0" fitToHeight="0" pageOrder="overThenDown" orientation="portrait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>
                  <from>
                    <xdr:col>15935</xdr:col>
                    <xdr:colOff>76200</xdr:colOff>
                    <xdr:row>0</xdr:row>
                    <xdr:rowOff>666750</xdr:rowOff>
                  </from>
                  <to>
                    <xdr:col>15935</xdr:col>
                    <xdr:colOff>76200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>
                <anchor>
                  <from>
                    <xdr:col>15935</xdr:col>
                    <xdr:colOff>76200</xdr:colOff>
                    <xdr:row>0</xdr:row>
                    <xdr:rowOff>666750</xdr:rowOff>
                  </from>
                  <to>
                    <xdr:col>15935</xdr:col>
                    <xdr:colOff>76200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>
                  <from>
                    <xdr:col>15935</xdr:col>
                    <xdr:colOff>76200</xdr:colOff>
                    <xdr:row>1</xdr:row>
                    <xdr:rowOff>95250</xdr:rowOff>
                  </from>
                  <to>
                    <xdr:col>15935</xdr:col>
                    <xdr:colOff>76200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>
                <anchor>
                  <from>
                    <xdr:col>15935</xdr:col>
                    <xdr:colOff>76200</xdr:colOff>
                    <xdr:row>1</xdr:row>
                    <xdr:rowOff>95250</xdr:rowOff>
                  </from>
                  <to>
                    <xdr:col>15935</xdr:col>
                    <xdr:colOff>76200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>
                <anchor>
                  <from>
                    <xdr:col>15935</xdr:col>
                    <xdr:colOff>76200</xdr:colOff>
                    <xdr:row>0</xdr:row>
                    <xdr:rowOff>666750</xdr:rowOff>
                  </from>
                  <to>
                    <xdr:col>15935</xdr:col>
                    <xdr:colOff>76200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>
                <anchor>
                  <from>
                    <xdr:col>15935</xdr:col>
                    <xdr:colOff>76200</xdr:colOff>
                    <xdr:row>0</xdr:row>
                    <xdr:rowOff>666750</xdr:rowOff>
                  </from>
                  <to>
                    <xdr:col>15935</xdr:col>
                    <xdr:colOff>76200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>
                <anchor>
                  <from>
                    <xdr:col>15935</xdr:col>
                    <xdr:colOff>76200</xdr:colOff>
                    <xdr:row>0</xdr:row>
                    <xdr:rowOff>666750</xdr:rowOff>
                  </from>
                  <to>
                    <xdr:col>15935</xdr:col>
                    <xdr:colOff>76200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>
                <anchor>
                  <from>
                    <xdr:col>15935</xdr:col>
                    <xdr:colOff>76200</xdr:colOff>
                    <xdr:row>0</xdr:row>
                    <xdr:rowOff>666750</xdr:rowOff>
                  </from>
                  <to>
                    <xdr:col>15935</xdr:col>
                    <xdr:colOff>76200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>
                <anchor>
                  <from>
                    <xdr:col>15935</xdr:col>
                    <xdr:colOff>76200</xdr:colOff>
                    <xdr:row>0</xdr:row>
                    <xdr:rowOff>676275</xdr:rowOff>
                  </from>
                  <to>
                    <xdr:col>15935</xdr:col>
                    <xdr:colOff>76200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>
                <anchor>
                  <from>
                    <xdr:col>15935</xdr:col>
                    <xdr:colOff>76200</xdr:colOff>
                    <xdr:row>0</xdr:row>
                    <xdr:rowOff>676275</xdr:rowOff>
                  </from>
                  <to>
                    <xdr:col>15935</xdr:col>
                    <xdr:colOff>76200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>
                <anchor>
                  <from>
                    <xdr:col>15935</xdr:col>
                    <xdr:colOff>76200</xdr:colOff>
                    <xdr:row>1</xdr:row>
                    <xdr:rowOff>95250</xdr:rowOff>
                  </from>
                  <to>
                    <xdr:col>15935</xdr:col>
                    <xdr:colOff>76200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>
                <anchor>
                  <from>
                    <xdr:col>15935</xdr:col>
                    <xdr:colOff>76200</xdr:colOff>
                    <xdr:row>1</xdr:row>
                    <xdr:rowOff>95250</xdr:rowOff>
                  </from>
                  <to>
                    <xdr:col>15935</xdr:col>
                    <xdr:colOff>76200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>
                <anchor>
                  <from>
                    <xdr:col>15935</xdr:col>
                    <xdr:colOff>76200</xdr:colOff>
                    <xdr:row>0</xdr:row>
                    <xdr:rowOff>666750</xdr:rowOff>
                  </from>
                  <to>
                    <xdr:col>15935</xdr:col>
                    <xdr:colOff>76200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>
                <anchor>
                  <from>
                    <xdr:col>15935</xdr:col>
                    <xdr:colOff>76200</xdr:colOff>
                    <xdr:row>0</xdr:row>
                    <xdr:rowOff>666750</xdr:rowOff>
                  </from>
                  <to>
                    <xdr:col>15935</xdr:col>
                    <xdr:colOff>76200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77E4F-1BE7-47EA-950B-B50AC7F10F45}">
  <sheetPr codeName="Planilha2"/>
  <dimension ref="C1:Z64"/>
  <sheetViews>
    <sheetView showGridLines="0" showRowColHeaders="0" topLeftCell="B1" workbookViewId="0"/>
  </sheetViews>
  <sheetFormatPr defaultRowHeight="24.95" customHeight="1" x14ac:dyDescent="0.2"/>
  <cols>
    <col min="1" max="1" width="0" hidden="1" customWidth="1"/>
    <col min="2" max="2" width="22.7109375" customWidth="1"/>
    <col min="3" max="4" width="14.5703125" bestFit="1" customWidth="1"/>
    <col min="5" max="5" width="10.5703125" bestFit="1" customWidth="1"/>
    <col min="6" max="6" width="25" customWidth="1"/>
    <col min="7" max="8" width="16.7109375" bestFit="1" customWidth="1"/>
    <col min="9" max="9" width="10.28515625" bestFit="1" customWidth="1"/>
    <col min="11" max="11" width="12.85546875" bestFit="1" customWidth="1"/>
    <col min="12" max="12" width="17.28515625" bestFit="1" customWidth="1"/>
    <col min="16" max="17" width="9.140625" style="10"/>
    <col min="18" max="18" width="0" style="10" hidden="1" customWidth="1"/>
    <col min="19" max="19" width="0" hidden="1" customWidth="1"/>
  </cols>
  <sheetData>
    <row r="1" spans="3:26" s="36" customFormat="1" ht="55.5" customHeight="1" x14ac:dyDescent="0.25">
      <c r="I1" s="37"/>
      <c r="J1" s="37"/>
      <c r="M1" s="37"/>
      <c r="N1" s="38"/>
      <c r="O1" s="38"/>
      <c r="P1" s="37"/>
      <c r="Q1" s="37"/>
      <c r="R1" s="37"/>
      <c r="S1" s="38"/>
      <c r="T1" s="38"/>
      <c r="U1" s="37"/>
      <c r="V1" s="38"/>
      <c r="W1" s="38"/>
      <c r="X1" s="38"/>
      <c r="Y1" s="38"/>
      <c r="Z1" s="38"/>
    </row>
    <row r="2" spans="3:26" s="39" customFormat="1" ht="10.5" customHeight="1" x14ac:dyDescent="0.25">
      <c r="I2" s="40"/>
      <c r="J2" s="40"/>
      <c r="M2" s="40"/>
      <c r="N2" s="41"/>
      <c r="O2" s="41"/>
      <c r="P2" s="40"/>
      <c r="Q2" s="40"/>
      <c r="R2" s="40"/>
      <c r="S2" s="41"/>
      <c r="T2" s="41"/>
      <c r="U2" s="40"/>
      <c r="V2" s="41"/>
      <c r="W2" s="41"/>
      <c r="X2" s="41"/>
      <c r="Y2" s="41"/>
      <c r="Z2" s="41"/>
    </row>
    <row r="3" spans="3:26" ht="12.75" customHeight="1" x14ac:dyDescent="0.2"/>
    <row r="4" spans="3:26" ht="12.75" hidden="1" customHeight="1" x14ac:dyDescent="0.2"/>
    <row r="5" spans="3:26" ht="24.95" hidden="1" customHeight="1" x14ac:dyDescent="0.2"/>
    <row r="6" spans="3:26" ht="15" x14ac:dyDescent="0.2">
      <c r="C6" s="45" t="s">
        <v>183</v>
      </c>
      <c r="D6" s="45" t="s">
        <v>184</v>
      </c>
      <c r="E6" s="45" t="s">
        <v>182</v>
      </c>
      <c r="F6" s="31"/>
      <c r="G6" s="46" t="s">
        <v>185</v>
      </c>
      <c r="H6" s="46" t="s">
        <v>186</v>
      </c>
      <c r="I6" s="46" t="s">
        <v>211</v>
      </c>
      <c r="K6" s="47" t="s">
        <v>593</v>
      </c>
      <c r="L6" s="47" t="s">
        <v>621</v>
      </c>
      <c r="M6" s="10"/>
      <c r="R6" s="10" t="s">
        <v>604</v>
      </c>
      <c r="S6" s="29">
        <f>IFERROR(VLOOKUP(R6,$K$7:$L$9,2,0),0)</f>
        <v>74</v>
      </c>
    </row>
    <row r="7" spans="3:26" ht="12.75" customHeight="1" x14ac:dyDescent="0.2">
      <c r="C7" s="10" t="s">
        <v>605</v>
      </c>
      <c r="D7" s="10" t="s">
        <v>606</v>
      </c>
      <c r="E7" s="30">
        <v>16</v>
      </c>
      <c r="G7" s="10" t="s">
        <v>605</v>
      </c>
      <c r="H7" s="10" t="s">
        <v>606</v>
      </c>
      <c r="I7" s="30">
        <v>1</v>
      </c>
      <c r="K7" s="10" t="s">
        <v>603</v>
      </c>
      <c r="L7" s="30">
        <v>307</v>
      </c>
      <c r="M7" s="10"/>
    </row>
    <row r="8" spans="3:26" ht="12.75" customHeight="1" x14ac:dyDescent="0.2">
      <c r="C8" s="10" t="s">
        <v>605</v>
      </c>
      <c r="D8" s="10" t="s">
        <v>611</v>
      </c>
      <c r="E8" s="30">
        <v>7</v>
      </c>
      <c r="G8" s="10" t="s">
        <v>605</v>
      </c>
      <c r="H8" s="10" t="s">
        <v>615</v>
      </c>
      <c r="I8" s="30">
        <v>11</v>
      </c>
      <c r="K8" s="10" t="s">
        <v>604</v>
      </c>
      <c r="L8" s="30">
        <v>74</v>
      </c>
      <c r="M8" s="10"/>
    </row>
    <row r="9" spans="3:26" ht="12.75" customHeight="1" x14ac:dyDescent="0.2">
      <c r="C9" s="10" t="s">
        <v>605</v>
      </c>
      <c r="D9" s="10" t="s">
        <v>612</v>
      </c>
      <c r="E9" s="30">
        <v>1</v>
      </c>
      <c r="G9" s="10" t="s">
        <v>605</v>
      </c>
      <c r="H9" s="10" t="s">
        <v>613</v>
      </c>
      <c r="I9" s="30">
        <v>4</v>
      </c>
      <c r="K9" s="10"/>
      <c r="L9" s="10"/>
      <c r="M9" s="10"/>
    </row>
    <row r="10" spans="3:26" ht="12.75" customHeight="1" x14ac:dyDescent="0.2">
      <c r="C10" s="10" t="s">
        <v>605</v>
      </c>
      <c r="D10" s="10" t="s">
        <v>613</v>
      </c>
      <c r="E10" s="30">
        <v>5</v>
      </c>
      <c r="G10" s="10" t="s">
        <v>607</v>
      </c>
      <c r="H10" s="10" t="s">
        <v>619</v>
      </c>
      <c r="I10" s="30">
        <v>1</v>
      </c>
      <c r="K10" s="47" t="s">
        <v>593</v>
      </c>
      <c r="L10" s="47" t="s">
        <v>592</v>
      </c>
      <c r="M10" s="47" t="s">
        <v>621</v>
      </c>
    </row>
    <row r="11" spans="3:26" ht="12.75" customHeight="1" x14ac:dyDescent="0.2">
      <c r="C11" s="10" t="s">
        <v>607</v>
      </c>
      <c r="D11" s="10" t="s">
        <v>614</v>
      </c>
      <c r="E11" s="30">
        <v>1</v>
      </c>
      <c r="G11" s="10" t="s">
        <v>607</v>
      </c>
      <c r="H11" s="10" t="s">
        <v>618</v>
      </c>
      <c r="I11" s="30">
        <v>1</v>
      </c>
      <c r="K11" s="10" t="s">
        <v>604</v>
      </c>
      <c r="L11" s="10" t="s">
        <v>600</v>
      </c>
      <c r="M11" s="30">
        <v>2</v>
      </c>
    </row>
    <row r="12" spans="3:26" ht="12.75" customHeight="1" x14ac:dyDescent="0.2">
      <c r="C12" s="10" t="s">
        <v>607</v>
      </c>
      <c r="D12" s="10" t="s">
        <v>606</v>
      </c>
      <c r="E12" s="30">
        <v>8</v>
      </c>
      <c r="G12" s="10" t="s">
        <v>607</v>
      </c>
      <c r="H12" s="10" t="s">
        <v>606</v>
      </c>
      <c r="I12" s="30">
        <v>4</v>
      </c>
      <c r="K12" s="10" t="s">
        <v>604</v>
      </c>
      <c r="L12" s="10" t="s">
        <v>595</v>
      </c>
      <c r="M12" s="30">
        <v>3</v>
      </c>
    </row>
    <row r="13" spans="3:26" ht="12.75" customHeight="1" x14ac:dyDescent="0.2">
      <c r="C13" s="10" t="s">
        <v>607</v>
      </c>
      <c r="D13" s="10" t="s">
        <v>611</v>
      </c>
      <c r="E13" s="30">
        <v>13</v>
      </c>
      <c r="G13" s="10" t="s">
        <v>607</v>
      </c>
      <c r="H13" s="10" t="s">
        <v>612</v>
      </c>
      <c r="I13" s="30">
        <v>5</v>
      </c>
      <c r="K13" s="10" t="s">
        <v>604</v>
      </c>
      <c r="L13" s="10" t="s">
        <v>596</v>
      </c>
      <c r="M13" s="30">
        <v>4</v>
      </c>
    </row>
    <row r="14" spans="3:26" ht="12.75" customHeight="1" x14ac:dyDescent="0.2">
      <c r="C14" s="10" t="s">
        <v>607</v>
      </c>
      <c r="D14" s="10" t="s">
        <v>612</v>
      </c>
      <c r="E14" s="30">
        <v>2</v>
      </c>
      <c r="G14" s="10" t="s">
        <v>607</v>
      </c>
      <c r="H14" s="10" t="s">
        <v>615</v>
      </c>
      <c r="I14" s="30">
        <v>7</v>
      </c>
      <c r="K14" s="10" t="s">
        <v>604</v>
      </c>
      <c r="L14" s="10" t="s">
        <v>602</v>
      </c>
      <c r="M14" s="30">
        <v>5</v>
      </c>
    </row>
    <row r="15" spans="3:26" ht="12.75" customHeight="1" x14ac:dyDescent="0.2">
      <c r="C15" s="10" t="s">
        <v>607</v>
      </c>
      <c r="D15" s="10" t="s">
        <v>615</v>
      </c>
      <c r="E15" s="30">
        <v>6</v>
      </c>
      <c r="G15" s="10" t="s">
        <v>608</v>
      </c>
      <c r="H15" s="10" t="s">
        <v>606</v>
      </c>
      <c r="I15" s="30">
        <v>1</v>
      </c>
      <c r="K15" s="10" t="s">
        <v>604</v>
      </c>
      <c r="L15" s="10" t="s">
        <v>601</v>
      </c>
      <c r="M15" s="30">
        <v>7</v>
      </c>
    </row>
    <row r="16" spans="3:26" ht="12.75" customHeight="1" x14ac:dyDescent="0.2">
      <c r="C16" s="10" t="s">
        <v>608</v>
      </c>
      <c r="D16" s="10" t="s">
        <v>616</v>
      </c>
      <c r="E16" s="30">
        <v>1</v>
      </c>
      <c r="G16" s="10" t="s">
        <v>608</v>
      </c>
      <c r="H16" s="10" t="s">
        <v>612</v>
      </c>
      <c r="I16" s="30">
        <v>1</v>
      </c>
      <c r="K16" s="10" t="s">
        <v>604</v>
      </c>
      <c r="L16" s="10" t="s">
        <v>598</v>
      </c>
      <c r="M16" s="30">
        <v>8</v>
      </c>
    </row>
    <row r="17" spans="3:13" ht="12.75" customHeight="1" x14ac:dyDescent="0.2">
      <c r="C17" s="10" t="s">
        <v>608</v>
      </c>
      <c r="D17" s="10" t="s">
        <v>606</v>
      </c>
      <c r="E17" s="30">
        <v>2</v>
      </c>
      <c r="G17" s="10" t="s">
        <v>608</v>
      </c>
      <c r="H17" s="10" t="s">
        <v>615</v>
      </c>
      <c r="I17" s="30">
        <v>10</v>
      </c>
      <c r="K17" s="10" t="s">
        <v>604</v>
      </c>
      <c r="L17" s="10" t="s">
        <v>597</v>
      </c>
      <c r="M17" s="30">
        <v>8</v>
      </c>
    </row>
    <row r="18" spans="3:13" ht="12.75" customHeight="1" x14ac:dyDescent="0.2">
      <c r="C18" s="10" t="s">
        <v>608</v>
      </c>
      <c r="D18" s="10" t="s">
        <v>611</v>
      </c>
      <c r="E18" s="30">
        <v>21</v>
      </c>
      <c r="G18" s="10" t="s">
        <v>175</v>
      </c>
      <c r="H18" s="10" t="s">
        <v>618</v>
      </c>
      <c r="I18" s="30">
        <v>1</v>
      </c>
      <c r="K18" s="10" t="s">
        <v>604</v>
      </c>
      <c r="L18" s="10" t="s">
        <v>594</v>
      </c>
      <c r="M18" s="30">
        <v>14</v>
      </c>
    </row>
    <row r="19" spans="3:13" ht="12.75" customHeight="1" x14ac:dyDescent="0.2">
      <c r="C19" s="10" t="s">
        <v>608</v>
      </c>
      <c r="D19" s="10" t="s">
        <v>612</v>
      </c>
      <c r="E19" s="30">
        <v>2</v>
      </c>
      <c r="G19" s="10" t="s">
        <v>175</v>
      </c>
      <c r="H19" s="10" t="s">
        <v>617</v>
      </c>
      <c r="I19" s="30">
        <v>9</v>
      </c>
      <c r="K19" s="10" t="s">
        <v>604</v>
      </c>
      <c r="L19" s="10" t="s">
        <v>599</v>
      </c>
      <c r="M19" s="30">
        <v>23</v>
      </c>
    </row>
    <row r="20" spans="3:13" ht="12.75" customHeight="1" x14ac:dyDescent="0.2">
      <c r="C20" s="10" t="s">
        <v>608</v>
      </c>
      <c r="D20" s="10" t="s">
        <v>615</v>
      </c>
      <c r="E20" s="30">
        <v>4</v>
      </c>
      <c r="G20" s="10" t="s">
        <v>175</v>
      </c>
      <c r="H20" s="10" t="s">
        <v>606</v>
      </c>
      <c r="I20" s="30">
        <v>28</v>
      </c>
    </row>
    <row r="21" spans="3:13" ht="12.75" customHeight="1" x14ac:dyDescent="0.2">
      <c r="C21" s="10" t="s">
        <v>175</v>
      </c>
      <c r="D21" s="10" t="s">
        <v>616</v>
      </c>
      <c r="E21" s="30">
        <v>1</v>
      </c>
      <c r="G21" s="10" t="s">
        <v>175</v>
      </c>
      <c r="H21" s="10" t="s">
        <v>611</v>
      </c>
      <c r="I21" s="30">
        <v>1</v>
      </c>
    </row>
    <row r="22" spans="3:13" ht="12.75" customHeight="1" x14ac:dyDescent="0.2">
      <c r="C22" s="10" t="s">
        <v>175</v>
      </c>
      <c r="D22" s="10" t="s">
        <v>606</v>
      </c>
      <c r="E22" s="30">
        <v>2</v>
      </c>
      <c r="G22" s="10" t="s">
        <v>175</v>
      </c>
      <c r="H22" s="10" t="s">
        <v>612</v>
      </c>
      <c r="I22" s="30">
        <v>1</v>
      </c>
    </row>
    <row r="23" spans="3:13" ht="12.75" customHeight="1" x14ac:dyDescent="0.2">
      <c r="C23" s="10" t="s">
        <v>175</v>
      </c>
      <c r="D23" s="10" t="s">
        <v>611</v>
      </c>
      <c r="E23" s="30">
        <v>1</v>
      </c>
      <c r="G23" s="10" t="s">
        <v>175</v>
      </c>
      <c r="H23" s="10" t="s">
        <v>615</v>
      </c>
      <c r="I23" s="30">
        <v>1</v>
      </c>
    </row>
    <row r="24" spans="3:13" ht="12.75" customHeight="1" x14ac:dyDescent="0.2">
      <c r="C24" s="10" t="s">
        <v>175</v>
      </c>
      <c r="D24" s="10" t="s">
        <v>612</v>
      </c>
      <c r="E24" s="30">
        <v>24</v>
      </c>
      <c r="G24" s="10" t="s">
        <v>609</v>
      </c>
      <c r="H24" s="10" t="s">
        <v>611</v>
      </c>
      <c r="I24" s="30">
        <v>22</v>
      </c>
    </row>
    <row r="25" spans="3:13" ht="12.75" customHeight="1" x14ac:dyDescent="0.2">
      <c r="C25" s="10" t="s">
        <v>175</v>
      </c>
      <c r="D25" s="10" t="s">
        <v>615</v>
      </c>
      <c r="E25" s="30">
        <v>6</v>
      </c>
      <c r="G25" s="10" t="s">
        <v>609</v>
      </c>
      <c r="H25" s="10" t="s">
        <v>615</v>
      </c>
      <c r="I25" s="30">
        <v>15</v>
      </c>
    </row>
    <row r="26" spans="3:13" ht="12.75" customHeight="1" x14ac:dyDescent="0.2">
      <c r="C26" s="10" t="s">
        <v>609</v>
      </c>
      <c r="D26" s="10" t="s">
        <v>606</v>
      </c>
      <c r="E26" s="30">
        <v>7</v>
      </c>
      <c r="G26" s="10" t="s">
        <v>610</v>
      </c>
      <c r="H26" s="10" t="s">
        <v>606</v>
      </c>
      <c r="I26" s="30">
        <v>8</v>
      </c>
    </row>
    <row r="27" spans="3:13" ht="12.75" customHeight="1" x14ac:dyDescent="0.2">
      <c r="C27" s="10" t="s">
        <v>609</v>
      </c>
      <c r="D27" s="10" t="s">
        <v>611</v>
      </c>
      <c r="E27" s="30">
        <v>6</v>
      </c>
      <c r="G27" s="10" t="s">
        <v>610</v>
      </c>
      <c r="H27" s="10" t="s">
        <v>611</v>
      </c>
      <c r="I27" s="30">
        <v>1</v>
      </c>
    </row>
    <row r="28" spans="3:13" ht="12.75" customHeight="1" x14ac:dyDescent="0.2">
      <c r="C28" s="10" t="s">
        <v>609</v>
      </c>
      <c r="D28" s="10" t="s">
        <v>612</v>
      </c>
      <c r="E28" s="30">
        <v>10</v>
      </c>
      <c r="G28" s="10" t="s">
        <v>610</v>
      </c>
      <c r="H28" s="10" t="s">
        <v>615</v>
      </c>
      <c r="I28" s="30">
        <v>6</v>
      </c>
    </row>
    <row r="29" spans="3:13" ht="12.75" customHeight="1" x14ac:dyDescent="0.2">
      <c r="C29" s="10" t="s">
        <v>609</v>
      </c>
      <c r="D29" s="10" t="s">
        <v>615</v>
      </c>
      <c r="E29" s="30">
        <v>20</v>
      </c>
      <c r="G29" s="10" t="s">
        <v>176</v>
      </c>
      <c r="H29" s="10" t="s">
        <v>617</v>
      </c>
      <c r="I29" s="30">
        <v>6</v>
      </c>
    </row>
    <row r="30" spans="3:13" ht="12.75" customHeight="1" x14ac:dyDescent="0.2">
      <c r="C30" s="10" t="s">
        <v>610</v>
      </c>
      <c r="D30" s="10" t="s">
        <v>606</v>
      </c>
      <c r="E30" s="30">
        <v>1</v>
      </c>
      <c r="G30" s="10" t="s">
        <v>176</v>
      </c>
      <c r="H30" s="10" t="s">
        <v>611</v>
      </c>
      <c r="I30" s="30">
        <v>28</v>
      </c>
    </row>
    <row r="31" spans="3:13" ht="12.75" customHeight="1" x14ac:dyDescent="0.2">
      <c r="C31" s="10" t="s">
        <v>610</v>
      </c>
      <c r="D31" s="10" t="s">
        <v>611</v>
      </c>
      <c r="E31" s="30">
        <v>4</v>
      </c>
      <c r="G31" s="10" t="s">
        <v>176</v>
      </c>
      <c r="H31" s="10" t="s">
        <v>612</v>
      </c>
      <c r="I31" s="30">
        <v>12</v>
      </c>
    </row>
    <row r="32" spans="3:13" ht="12.75" customHeight="1" x14ac:dyDescent="0.2">
      <c r="C32" s="10" t="s">
        <v>610</v>
      </c>
      <c r="D32" s="10" t="s">
        <v>615</v>
      </c>
      <c r="E32" s="30">
        <v>4</v>
      </c>
      <c r="G32" s="10" t="s">
        <v>176</v>
      </c>
      <c r="H32" s="10" t="s">
        <v>615</v>
      </c>
      <c r="I32" s="30">
        <v>5</v>
      </c>
    </row>
    <row r="33" spans="3:9" ht="12.75" customHeight="1" x14ac:dyDescent="0.2">
      <c r="C33" s="10" t="s">
        <v>176</v>
      </c>
      <c r="D33" s="10" t="s">
        <v>606</v>
      </c>
      <c r="E33" s="30">
        <v>10</v>
      </c>
      <c r="G33" s="10" t="s">
        <v>177</v>
      </c>
      <c r="H33" s="10" t="s">
        <v>617</v>
      </c>
      <c r="I33" s="30">
        <v>33</v>
      </c>
    </row>
    <row r="34" spans="3:9" ht="12.75" customHeight="1" x14ac:dyDescent="0.2">
      <c r="C34" s="10" t="s">
        <v>176</v>
      </c>
      <c r="D34" s="10" t="s">
        <v>611</v>
      </c>
      <c r="E34" s="30">
        <v>2</v>
      </c>
      <c r="G34" s="10" t="s">
        <v>177</v>
      </c>
      <c r="H34" s="10" t="s">
        <v>606</v>
      </c>
      <c r="I34" s="30">
        <v>11</v>
      </c>
    </row>
    <row r="35" spans="3:9" ht="12.75" customHeight="1" x14ac:dyDescent="0.2">
      <c r="C35" s="10" t="s">
        <v>176</v>
      </c>
      <c r="D35" s="10" t="s">
        <v>612</v>
      </c>
      <c r="E35" s="30">
        <v>1</v>
      </c>
      <c r="G35" s="10" t="s">
        <v>177</v>
      </c>
      <c r="H35" s="10" t="s">
        <v>611</v>
      </c>
      <c r="I35" s="30">
        <v>2</v>
      </c>
    </row>
    <row r="36" spans="3:9" ht="12.75" customHeight="1" x14ac:dyDescent="0.2">
      <c r="C36" s="10" t="s">
        <v>176</v>
      </c>
      <c r="D36" s="10" t="s">
        <v>615</v>
      </c>
      <c r="E36" s="30">
        <v>1</v>
      </c>
      <c r="G36" s="10" t="s">
        <v>177</v>
      </c>
      <c r="H36" s="10" t="s">
        <v>612</v>
      </c>
      <c r="I36" s="30">
        <v>1</v>
      </c>
    </row>
    <row r="37" spans="3:9" ht="12.75" customHeight="1" x14ac:dyDescent="0.2">
      <c r="C37" s="10" t="s">
        <v>177</v>
      </c>
      <c r="D37" s="10" t="s">
        <v>614</v>
      </c>
      <c r="E37" s="30">
        <v>1</v>
      </c>
      <c r="G37" s="10" t="s">
        <v>177</v>
      </c>
      <c r="H37" s="10" t="s">
        <v>615</v>
      </c>
      <c r="I37" s="30">
        <v>8</v>
      </c>
    </row>
    <row r="38" spans="3:9" ht="12.75" customHeight="1" x14ac:dyDescent="0.2">
      <c r="C38" s="10" t="s">
        <v>177</v>
      </c>
      <c r="D38" s="10" t="s">
        <v>617</v>
      </c>
      <c r="E38" s="30">
        <v>2</v>
      </c>
      <c r="G38" s="10" t="s">
        <v>178</v>
      </c>
      <c r="H38" s="10" t="s">
        <v>617</v>
      </c>
      <c r="I38" s="30">
        <v>11</v>
      </c>
    </row>
    <row r="39" spans="3:9" ht="12.75" customHeight="1" x14ac:dyDescent="0.2">
      <c r="C39" s="10" t="s">
        <v>177</v>
      </c>
      <c r="D39" s="10" t="s">
        <v>606</v>
      </c>
      <c r="E39" s="30">
        <v>4</v>
      </c>
      <c r="G39" s="10" t="s">
        <v>178</v>
      </c>
      <c r="H39" s="10" t="s">
        <v>606</v>
      </c>
      <c r="I39" s="30">
        <v>6</v>
      </c>
    </row>
    <row r="40" spans="3:9" ht="12.75" customHeight="1" x14ac:dyDescent="0.2">
      <c r="C40" s="10" t="s">
        <v>177</v>
      </c>
      <c r="D40" s="10" t="s">
        <v>611</v>
      </c>
      <c r="E40" s="30">
        <v>2</v>
      </c>
      <c r="G40" s="10" t="s">
        <v>178</v>
      </c>
      <c r="H40" s="10" t="s">
        <v>611</v>
      </c>
      <c r="I40" s="30">
        <v>1</v>
      </c>
    </row>
    <row r="41" spans="3:9" ht="12.75" customHeight="1" x14ac:dyDescent="0.2">
      <c r="C41" s="10" t="s">
        <v>177</v>
      </c>
      <c r="D41" s="10" t="s">
        <v>612</v>
      </c>
      <c r="E41" s="30">
        <v>4</v>
      </c>
      <c r="G41" s="10" t="s">
        <v>178</v>
      </c>
      <c r="H41" s="10" t="s">
        <v>612</v>
      </c>
      <c r="I41" s="30">
        <v>5</v>
      </c>
    </row>
    <row r="42" spans="3:9" ht="12.75" customHeight="1" x14ac:dyDescent="0.2">
      <c r="C42" s="10" t="s">
        <v>177</v>
      </c>
      <c r="D42" s="10" t="s">
        <v>615</v>
      </c>
      <c r="E42" s="30">
        <v>4</v>
      </c>
      <c r="G42" s="10" t="s">
        <v>178</v>
      </c>
      <c r="H42" s="10" t="s">
        <v>615</v>
      </c>
      <c r="I42" s="30">
        <v>8</v>
      </c>
    </row>
    <row r="43" spans="3:9" ht="12.75" customHeight="1" x14ac:dyDescent="0.2">
      <c r="C43" s="10" t="s">
        <v>178</v>
      </c>
      <c r="D43" s="10" t="s">
        <v>618</v>
      </c>
      <c r="E43" s="30">
        <v>1</v>
      </c>
      <c r="G43" s="10" t="s">
        <v>179</v>
      </c>
      <c r="H43" s="10" t="s">
        <v>606</v>
      </c>
      <c r="I43" s="30">
        <v>3</v>
      </c>
    </row>
    <row r="44" spans="3:9" ht="12.75" customHeight="1" x14ac:dyDescent="0.2">
      <c r="C44" s="10" t="s">
        <v>178</v>
      </c>
      <c r="D44" s="10" t="s">
        <v>617</v>
      </c>
      <c r="E44" s="30">
        <v>4</v>
      </c>
      <c r="G44" s="10" t="s">
        <v>179</v>
      </c>
      <c r="H44" s="10" t="s">
        <v>615</v>
      </c>
      <c r="I44" s="30">
        <v>20</v>
      </c>
    </row>
    <row r="45" spans="3:9" ht="12.75" customHeight="1" x14ac:dyDescent="0.2">
      <c r="C45" s="10" t="s">
        <v>178</v>
      </c>
      <c r="D45" s="10" t="s">
        <v>606</v>
      </c>
      <c r="E45" s="30">
        <v>6</v>
      </c>
      <c r="G45" s="10" t="s">
        <v>180</v>
      </c>
      <c r="H45" s="10" t="s">
        <v>620</v>
      </c>
      <c r="I45" s="30">
        <v>1</v>
      </c>
    </row>
    <row r="46" spans="3:9" ht="12.75" customHeight="1" x14ac:dyDescent="0.2">
      <c r="C46" s="10" t="s">
        <v>178</v>
      </c>
      <c r="D46" s="10" t="s">
        <v>611</v>
      </c>
      <c r="E46" s="30">
        <v>7</v>
      </c>
      <c r="G46" s="10" t="s">
        <v>180</v>
      </c>
      <c r="H46" s="10" t="s">
        <v>619</v>
      </c>
      <c r="I46" s="30">
        <v>1</v>
      </c>
    </row>
    <row r="47" spans="3:9" ht="12.75" customHeight="1" x14ac:dyDescent="0.2">
      <c r="C47" s="10" t="s">
        <v>178</v>
      </c>
      <c r="D47" s="10" t="s">
        <v>612</v>
      </c>
      <c r="E47" s="30">
        <v>7</v>
      </c>
      <c r="G47" s="10" t="s">
        <v>180</v>
      </c>
      <c r="H47" s="10" t="s">
        <v>617</v>
      </c>
      <c r="I47" s="30">
        <v>2</v>
      </c>
    </row>
    <row r="48" spans="3:9" ht="12.75" customHeight="1" x14ac:dyDescent="0.2">
      <c r="C48" s="10" t="s">
        <v>178</v>
      </c>
      <c r="D48" s="10" t="s">
        <v>615</v>
      </c>
      <c r="E48" s="30">
        <v>9</v>
      </c>
      <c r="G48" s="10" t="s">
        <v>180</v>
      </c>
      <c r="H48" s="10" t="s">
        <v>606</v>
      </c>
      <c r="I48" s="30">
        <v>8</v>
      </c>
    </row>
    <row r="49" spans="3:9" ht="12.75" customHeight="1" x14ac:dyDescent="0.2">
      <c r="C49" s="10" t="s">
        <v>179</v>
      </c>
      <c r="D49" s="10" t="s">
        <v>617</v>
      </c>
      <c r="E49" s="30">
        <v>6</v>
      </c>
      <c r="G49" s="10" t="s">
        <v>180</v>
      </c>
      <c r="H49" s="10" t="s">
        <v>612</v>
      </c>
      <c r="I49" s="30">
        <v>17</v>
      </c>
    </row>
    <row r="50" spans="3:9" ht="12.75" customHeight="1" x14ac:dyDescent="0.2">
      <c r="C50" s="10" t="s">
        <v>179</v>
      </c>
      <c r="D50" s="10" t="s">
        <v>606</v>
      </c>
      <c r="E50" s="30">
        <v>7</v>
      </c>
      <c r="G50" s="10" t="s">
        <v>180</v>
      </c>
      <c r="H50" s="10" t="s">
        <v>615</v>
      </c>
      <c r="I50" s="30">
        <v>1</v>
      </c>
    </row>
    <row r="51" spans="3:9" ht="12.75" customHeight="1" x14ac:dyDescent="0.2">
      <c r="C51" s="10" t="s">
        <v>179</v>
      </c>
      <c r="D51" s="10" t="s">
        <v>611</v>
      </c>
      <c r="E51" s="30">
        <v>5</v>
      </c>
      <c r="G51" s="10" t="s">
        <v>181</v>
      </c>
      <c r="H51" s="10" t="s">
        <v>618</v>
      </c>
      <c r="I51" s="30">
        <v>1</v>
      </c>
    </row>
    <row r="52" spans="3:9" ht="12.75" customHeight="1" x14ac:dyDescent="0.2">
      <c r="C52" s="10" t="s">
        <v>179</v>
      </c>
      <c r="D52" s="10" t="s">
        <v>612</v>
      </c>
      <c r="E52" s="30">
        <v>2</v>
      </c>
      <c r="G52" s="10" t="s">
        <v>181</v>
      </c>
      <c r="H52" s="10" t="s">
        <v>617</v>
      </c>
      <c r="I52" s="30">
        <v>49</v>
      </c>
    </row>
    <row r="53" spans="3:9" ht="12.75" customHeight="1" x14ac:dyDescent="0.2">
      <c r="C53" s="10" t="s">
        <v>179</v>
      </c>
      <c r="D53" s="10" t="s">
        <v>615</v>
      </c>
      <c r="E53" s="30">
        <v>6</v>
      </c>
      <c r="G53" s="10" t="s">
        <v>181</v>
      </c>
      <c r="H53" s="10" t="s">
        <v>606</v>
      </c>
      <c r="I53" s="30">
        <v>2</v>
      </c>
    </row>
    <row r="54" spans="3:9" ht="12.75" customHeight="1" x14ac:dyDescent="0.2">
      <c r="C54" s="10" t="s">
        <v>180</v>
      </c>
      <c r="D54" s="10" t="s">
        <v>618</v>
      </c>
      <c r="E54" s="30">
        <v>1</v>
      </c>
    </row>
    <row r="55" spans="3:9" ht="12.75" customHeight="1" x14ac:dyDescent="0.2">
      <c r="C55" s="10" t="s">
        <v>180</v>
      </c>
      <c r="D55" s="10" t="s">
        <v>617</v>
      </c>
      <c r="E55" s="30">
        <v>3</v>
      </c>
    </row>
    <row r="56" spans="3:9" ht="12.75" customHeight="1" x14ac:dyDescent="0.2">
      <c r="C56" s="10" t="s">
        <v>180</v>
      </c>
      <c r="D56" s="10" t="s">
        <v>606</v>
      </c>
      <c r="E56" s="30">
        <v>8</v>
      </c>
    </row>
    <row r="57" spans="3:9" ht="12.75" customHeight="1" x14ac:dyDescent="0.2">
      <c r="C57" s="10" t="s">
        <v>180</v>
      </c>
      <c r="D57" s="10" t="s">
        <v>612</v>
      </c>
      <c r="E57" s="30">
        <v>1</v>
      </c>
    </row>
    <row r="58" spans="3:9" ht="12.75" customHeight="1" x14ac:dyDescent="0.2">
      <c r="C58" s="10" t="s">
        <v>180</v>
      </c>
      <c r="D58" s="10" t="s">
        <v>615</v>
      </c>
      <c r="E58" s="30">
        <v>9</v>
      </c>
    </row>
    <row r="59" spans="3:9" ht="12.75" customHeight="1" x14ac:dyDescent="0.2">
      <c r="C59" s="10" t="s">
        <v>181</v>
      </c>
      <c r="D59" s="10" t="s">
        <v>617</v>
      </c>
      <c r="E59" s="30">
        <v>3</v>
      </c>
    </row>
    <row r="60" spans="3:9" ht="12.75" customHeight="1" x14ac:dyDescent="0.2">
      <c r="C60" s="10" t="s">
        <v>181</v>
      </c>
      <c r="D60" s="10" t="s">
        <v>606</v>
      </c>
      <c r="E60" s="30">
        <v>2</v>
      </c>
    </row>
    <row r="61" spans="3:9" ht="12.75" customHeight="1" x14ac:dyDescent="0.2">
      <c r="C61" s="10" t="s">
        <v>181</v>
      </c>
      <c r="D61" s="10" t="s">
        <v>611</v>
      </c>
      <c r="E61" s="30">
        <v>1</v>
      </c>
    </row>
    <row r="62" spans="3:9" ht="12.75" customHeight="1" x14ac:dyDescent="0.2">
      <c r="C62" s="10" t="s">
        <v>181</v>
      </c>
      <c r="D62" s="10" t="s">
        <v>612</v>
      </c>
      <c r="E62" s="30">
        <v>9</v>
      </c>
    </row>
    <row r="63" spans="3:9" ht="12.75" customHeight="1" x14ac:dyDescent="0.2">
      <c r="C63" s="10" t="s">
        <v>181</v>
      </c>
      <c r="D63" s="10" t="s">
        <v>615</v>
      </c>
      <c r="E63" s="30">
        <v>4</v>
      </c>
    </row>
    <row r="64" spans="3:9" ht="24.95" customHeight="1" x14ac:dyDescent="0.2">
      <c r="E64" s="6"/>
    </row>
  </sheetData>
  <sheetProtection algorithmName="SHA-512" hashValue="IcFcq6Yr+dIQTzRTMe0kqiIO5VCXZVTujoXThI5D1uK8GIVGkeqfeLTP+sbHEh8tInbwRSM8liMEdCgsNF0uzQ==" saltValue="0NN0tlVhp7/w4RMjQ/ZclQ==" spinCount="100000" objects="1" scenarios="1"/>
  <pageMargins left="0.511811024" right="0.511811024" top="0.78740157499999996" bottom="0.78740157499999996" header="0.31496062000000002" footer="0.31496062000000002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Button 9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9" name="Button 10">
              <controlPr defaultSize="0" print="0" autoFill="0" autoPict="0">
                <anchor>
                  <from>
                    <xdr:col>15942</xdr:col>
                    <xdr:colOff>352425</xdr:colOff>
                    <xdr:row>1</xdr:row>
                    <xdr:rowOff>95250</xdr:rowOff>
                  </from>
                  <to>
                    <xdr:col>15942</xdr:col>
                    <xdr:colOff>352425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0" name="Button 11">
              <controlPr defaultSize="0" print="0" autoFill="0" autoPict="0">
                <anchor>
                  <from>
                    <xdr:col>15942</xdr:col>
                    <xdr:colOff>352425</xdr:colOff>
                    <xdr:row>1</xdr:row>
                    <xdr:rowOff>95250</xdr:rowOff>
                  </from>
                  <to>
                    <xdr:col>15942</xdr:col>
                    <xdr:colOff>352425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1" name="Button 12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2" name="Button 13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3" name="Button 14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4" name="Button 15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5" name="Button 16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6" name="Button 17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7" name="Button 18">
              <controlPr defaultSize="0" print="0" autoFill="0" autoPict="0">
                <anchor>
                  <from>
                    <xdr:col>15942</xdr:col>
                    <xdr:colOff>352425</xdr:colOff>
                    <xdr:row>1</xdr:row>
                    <xdr:rowOff>95250</xdr:rowOff>
                  </from>
                  <to>
                    <xdr:col>15942</xdr:col>
                    <xdr:colOff>352425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8" name="Button 19">
              <controlPr defaultSize="0" print="0" autoFill="0" autoPict="0">
                <anchor>
                  <from>
                    <xdr:col>15942</xdr:col>
                    <xdr:colOff>352425</xdr:colOff>
                    <xdr:row>1</xdr:row>
                    <xdr:rowOff>95250</xdr:rowOff>
                  </from>
                  <to>
                    <xdr:col>15942</xdr:col>
                    <xdr:colOff>352425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9" name="Button 20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0" name="Button 2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21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8607E-7ACC-45A1-9BB3-1858CEC3879B}">
  <sheetPr codeName="Planilha3"/>
  <dimension ref="A1:XFD392"/>
  <sheetViews>
    <sheetView showGridLines="0" showRowColHeaders="0" topLeftCell="B1" workbookViewId="0"/>
  </sheetViews>
  <sheetFormatPr defaultColWidth="9.140625" defaultRowHeight="12.75" x14ac:dyDescent="0.2"/>
  <cols>
    <col min="1" max="1" width="0" style="3" hidden="1" customWidth="1"/>
    <col min="2" max="2" width="1.42578125" style="32" customWidth="1"/>
    <col min="3" max="3" width="0" style="7" hidden="1" customWidth="1"/>
    <col min="4" max="4" width="0" style="3" hidden="1" customWidth="1"/>
    <col min="5" max="5" width="11.5703125" style="3" customWidth="1"/>
    <col min="6" max="6" width="12.7109375" style="3" customWidth="1"/>
    <col min="7" max="9" width="22.85546875" style="3" customWidth="1"/>
    <col min="10" max="10" width="26.85546875" style="3" bestFit="1" customWidth="1"/>
    <col min="11" max="11" width="21.28515625" style="3" customWidth="1"/>
    <col min="12" max="12" width="20" style="3" customWidth="1"/>
    <col min="13" max="13" width="26" style="3" customWidth="1"/>
    <col min="14" max="14" width="22.7109375" style="3" customWidth="1"/>
    <col min="15" max="15" width="9.140625" style="3"/>
    <col min="16" max="16" width="10.7109375" style="3" bestFit="1" customWidth="1"/>
    <col min="17" max="21" width="9.140625" style="3"/>
    <col min="22" max="23" width="11.28515625" style="3" customWidth="1"/>
    <col min="24" max="16368" width="9.140625" style="3"/>
  </cols>
  <sheetData>
    <row r="1" spans="2:29 16369:16384" s="36" customFormat="1" ht="55.5" customHeight="1" x14ac:dyDescent="0.25">
      <c r="L1" s="37"/>
      <c r="M1" s="37"/>
      <c r="P1" s="37"/>
      <c r="Q1" s="38"/>
      <c r="R1" s="38"/>
      <c r="S1" s="37"/>
      <c r="T1" s="37"/>
      <c r="U1" s="37"/>
      <c r="V1" s="38"/>
      <c r="W1" s="38"/>
      <c r="X1" s="37"/>
      <c r="Y1" s="38"/>
      <c r="Z1" s="38"/>
      <c r="AA1" s="38"/>
      <c r="AB1" s="38"/>
      <c r="AC1" s="38"/>
    </row>
    <row r="2" spans="2:29 16369:16384" s="39" customFormat="1" ht="10.5" customHeight="1" x14ac:dyDescent="0.25">
      <c r="L2" s="40"/>
      <c r="M2" s="40"/>
      <c r="P2" s="40"/>
      <c r="Q2" s="41"/>
      <c r="R2" s="41"/>
      <c r="S2" s="40"/>
      <c r="T2" s="40"/>
      <c r="U2" s="40"/>
      <c r="V2" s="41"/>
      <c r="W2" s="41"/>
      <c r="X2" s="40"/>
      <c r="Y2" s="41"/>
      <c r="Z2" s="41"/>
      <c r="AA2" s="41"/>
      <c r="AB2" s="41"/>
      <c r="AC2" s="41"/>
    </row>
    <row r="5" spans="2:29 16369:16384" s="10" customFormat="1" ht="24.95" customHeight="1" x14ac:dyDescent="0.2">
      <c r="B5" s="34"/>
      <c r="C5" s="9"/>
      <c r="E5" s="48" t="s">
        <v>174</v>
      </c>
      <c r="F5" s="43" t="s">
        <v>187</v>
      </c>
      <c r="G5" s="43" t="s">
        <v>188</v>
      </c>
      <c r="H5" s="43" t="s">
        <v>189</v>
      </c>
      <c r="I5" s="43" t="s">
        <v>190</v>
      </c>
      <c r="J5" s="43" t="s">
        <v>191</v>
      </c>
      <c r="K5" s="43" t="s">
        <v>192</v>
      </c>
      <c r="L5" s="44" t="s">
        <v>205</v>
      </c>
      <c r="XEO5"/>
      <c r="XEP5"/>
      <c r="XEQ5"/>
      <c r="XER5"/>
      <c r="XES5"/>
      <c r="XET5"/>
      <c r="XEU5"/>
      <c r="XEV5"/>
      <c r="XEW5"/>
      <c r="XEX5"/>
      <c r="XEY5"/>
      <c r="XEZ5"/>
      <c r="XFA5"/>
      <c r="XFB5"/>
      <c r="XFC5"/>
      <c r="XFD5"/>
    </row>
    <row r="6" spans="2:29 16369:16384" s="10" customFormat="1" ht="24.95" customHeight="1" x14ac:dyDescent="0.2">
      <c r="B6" s="34"/>
      <c r="C6" s="9"/>
      <c r="E6" s="11">
        <v>2019</v>
      </c>
      <c r="F6" s="12" t="s">
        <v>193</v>
      </c>
      <c r="G6" s="12"/>
      <c r="H6" s="12"/>
      <c r="I6" s="12"/>
      <c r="J6" s="12"/>
      <c r="K6" s="12"/>
      <c r="L6" s="13" t="str">
        <f>IFERROR(IF(Tabela2[[#This Row],[Ano]]="","",(H6+I6)/2/G6),"-")</f>
        <v>-</v>
      </c>
      <c r="XEO6"/>
      <c r="XEP6"/>
      <c r="XEQ6"/>
      <c r="XER6"/>
      <c r="XES6"/>
      <c r="XET6"/>
      <c r="XEU6"/>
      <c r="XEV6"/>
      <c r="XEW6"/>
      <c r="XEX6"/>
      <c r="XEY6"/>
      <c r="XEZ6"/>
      <c r="XFA6"/>
      <c r="XFB6"/>
      <c r="XFC6"/>
      <c r="XFD6"/>
    </row>
    <row r="7" spans="2:29 16369:16384" s="10" customFormat="1" ht="24.95" customHeight="1" x14ac:dyDescent="0.2">
      <c r="B7" s="34"/>
      <c r="C7" s="9"/>
      <c r="E7" s="11">
        <v>2019</v>
      </c>
      <c r="F7" s="12" t="s">
        <v>194</v>
      </c>
      <c r="G7" s="12"/>
      <c r="H7" s="12"/>
      <c r="I7" s="12"/>
      <c r="J7" s="12"/>
      <c r="K7" s="12"/>
      <c r="L7" s="13" t="str">
        <f>IFERROR(IF(Tabela2[[#This Row],[Ano]]="","",(H7+I7)/2/G7),"-")</f>
        <v>-</v>
      </c>
      <c r="XEO7"/>
      <c r="XEP7"/>
      <c r="XEQ7"/>
      <c r="XER7"/>
      <c r="XES7"/>
      <c r="XET7"/>
      <c r="XEU7"/>
      <c r="XEV7"/>
      <c r="XEW7"/>
      <c r="XEX7"/>
      <c r="XEY7"/>
      <c r="XEZ7"/>
      <c r="XFA7"/>
      <c r="XFB7"/>
      <c r="XFC7"/>
      <c r="XFD7"/>
    </row>
    <row r="8" spans="2:29 16369:16384" s="10" customFormat="1" ht="24.95" customHeight="1" x14ac:dyDescent="0.2">
      <c r="B8" s="34"/>
      <c r="C8" s="9"/>
      <c r="E8" s="11">
        <v>2019</v>
      </c>
      <c r="F8" s="12" t="s">
        <v>195</v>
      </c>
      <c r="G8" s="12"/>
      <c r="H8" s="12"/>
      <c r="I8" s="12"/>
      <c r="J8" s="12"/>
      <c r="K8" s="12"/>
      <c r="L8" s="13" t="str">
        <f>IFERROR(IF(Tabela2[[#This Row],[Ano]]="","",(H8+I8)/2/G8),"-")</f>
        <v>-</v>
      </c>
      <c r="XEO8"/>
      <c r="XEP8"/>
      <c r="XEQ8"/>
      <c r="XER8"/>
      <c r="XES8"/>
      <c r="XET8"/>
      <c r="XEU8"/>
      <c r="XEV8"/>
      <c r="XEW8"/>
      <c r="XEX8"/>
      <c r="XEY8"/>
      <c r="XEZ8"/>
      <c r="XFA8"/>
      <c r="XFB8"/>
      <c r="XFC8"/>
      <c r="XFD8"/>
    </row>
    <row r="9" spans="2:29 16369:16384" s="10" customFormat="1" ht="24.95" customHeight="1" x14ac:dyDescent="0.2">
      <c r="B9" s="34"/>
      <c r="C9" s="9"/>
      <c r="E9" s="11">
        <v>2019</v>
      </c>
      <c r="F9" s="12" t="s">
        <v>196</v>
      </c>
      <c r="G9" s="12">
        <v>9</v>
      </c>
      <c r="H9" s="12">
        <v>9</v>
      </c>
      <c r="I9" s="12">
        <v>0</v>
      </c>
      <c r="J9" s="12"/>
      <c r="K9" s="12"/>
      <c r="L9" s="13">
        <f>IFERROR(IF(Tabela2[[#This Row],[Ano]]="","",(H9+I9)/2/G9),"-")</f>
        <v>0.5</v>
      </c>
      <c r="XEO9"/>
      <c r="XEP9"/>
      <c r="XEQ9"/>
      <c r="XER9"/>
      <c r="XES9"/>
      <c r="XET9"/>
      <c r="XEU9"/>
      <c r="XEV9"/>
      <c r="XEW9"/>
      <c r="XEX9"/>
      <c r="XEY9"/>
      <c r="XEZ9"/>
      <c r="XFA9"/>
      <c r="XFB9"/>
      <c r="XFC9"/>
      <c r="XFD9"/>
    </row>
    <row r="10" spans="2:29 16369:16384" s="10" customFormat="1" ht="24.95" customHeight="1" x14ac:dyDescent="0.2">
      <c r="B10" s="34"/>
      <c r="C10" s="9"/>
      <c r="E10" s="11">
        <v>2019</v>
      </c>
      <c r="F10" s="12" t="s">
        <v>197</v>
      </c>
      <c r="G10" s="12">
        <v>9</v>
      </c>
      <c r="H10" s="12">
        <v>0</v>
      </c>
      <c r="I10" s="12">
        <v>0</v>
      </c>
      <c r="J10" s="12"/>
      <c r="K10" s="12"/>
      <c r="L10" s="13">
        <f>IFERROR(IF(Tabela2[[#This Row],[Ano]]="","",(H10+I10)/2/G10),"-")</f>
        <v>0</v>
      </c>
      <c r="XEO10"/>
      <c r="XEP10"/>
      <c r="XEQ10"/>
      <c r="XER10"/>
      <c r="XES10"/>
      <c r="XET10"/>
      <c r="XEU10"/>
      <c r="XEV10"/>
      <c r="XEW10"/>
      <c r="XEX10"/>
      <c r="XEY10"/>
      <c r="XEZ10"/>
      <c r="XFA10"/>
      <c r="XFB10"/>
      <c r="XFC10"/>
      <c r="XFD10"/>
    </row>
    <row r="11" spans="2:29 16369:16384" s="10" customFormat="1" ht="24.95" customHeight="1" x14ac:dyDescent="0.2">
      <c r="B11" s="34"/>
      <c r="C11" s="9"/>
      <c r="E11" s="11">
        <v>2019</v>
      </c>
      <c r="F11" s="12" t="s">
        <v>198</v>
      </c>
      <c r="G11" s="12">
        <v>9</v>
      </c>
      <c r="H11" s="12">
        <v>0</v>
      </c>
      <c r="I11" s="12">
        <v>0</v>
      </c>
      <c r="J11" s="12"/>
      <c r="K11" s="12"/>
      <c r="L11" s="13">
        <f>IFERROR(IF(Tabela2[[#This Row],[Ano]]="","",(H11+I11)/2/G11),"-")</f>
        <v>0</v>
      </c>
      <c r="XEO11"/>
      <c r="XEP11"/>
      <c r="XEQ11"/>
      <c r="XER11"/>
      <c r="XES11"/>
      <c r="XET11"/>
      <c r="XEU11"/>
      <c r="XEV11"/>
      <c r="XEW11"/>
      <c r="XEX11"/>
      <c r="XEY11"/>
      <c r="XEZ11"/>
      <c r="XFA11"/>
      <c r="XFB11"/>
      <c r="XFC11"/>
      <c r="XFD11"/>
    </row>
    <row r="12" spans="2:29 16369:16384" s="10" customFormat="1" ht="24.95" customHeight="1" x14ac:dyDescent="0.2">
      <c r="B12" s="34"/>
      <c r="C12" s="9"/>
      <c r="E12" s="11">
        <v>2019</v>
      </c>
      <c r="F12" s="12" t="s">
        <v>199</v>
      </c>
      <c r="G12" s="12">
        <v>15</v>
      </c>
      <c r="H12" s="12">
        <v>6</v>
      </c>
      <c r="I12" s="12">
        <v>0</v>
      </c>
      <c r="J12" s="12"/>
      <c r="K12" s="12"/>
      <c r="L12" s="13">
        <f>IFERROR(IF(Tabela2[[#This Row],[Ano]]="","",(H12+I12)/2/G12),"-")</f>
        <v>0.2</v>
      </c>
      <c r="XEO12"/>
      <c r="XEP12"/>
      <c r="XEQ12"/>
      <c r="XER12"/>
      <c r="XES12"/>
      <c r="XET12"/>
      <c r="XEU12"/>
      <c r="XEV12"/>
      <c r="XEW12"/>
      <c r="XEX12"/>
      <c r="XEY12"/>
      <c r="XEZ12"/>
      <c r="XFA12"/>
      <c r="XFB12"/>
      <c r="XFC12"/>
      <c r="XFD12"/>
    </row>
    <row r="13" spans="2:29 16369:16384" s="10" customFormat="1" ht="24.95" customHeight="1" x14ac:dyDescent="0.2">
      <c r="B13" s="34"/>
      <c r="C13" s="9"/>
      <c r="E13" s="11">
        <v>2019</v>
      </c>
      <c r="F13" s="12" t="s">
        <v>200</v>
      </c>
      <c r="G13" s="12">
        <v>46</v>
      </c>
      <c r="H13" s="12">
        <v>33</v>
      </c>
      <c r="I13" s="12">
        <v>2</v>
      </c>
      <c r="J13" s="12"/>
      <c r="K13" s="12"/>
      <c r="L13" s="13">
        <f>IFERROR(IF(Tabela2[[#This Row],[Ano]]="","",(H13+I13)/2/G13),"-")</f>
        <v>0.38043478260869568</v>
      </c>
      <c r="XEO13"/>
      <c r="XEP13"/>
      <c r="XEQ13"/>
      <c r="XER13"/>
      <c r="XES13"/>
      <c r="XET13"/>
      <c r="XEU13"/>
      <c r="XEV13"/>
      <c r="XEW13"/>
      <c r="XEX13"/>
      <c r="XEY13"/>
      <c r="XEZ13"/>
      <c r="XFA13"/>
      <c r="XFB13"/>
      <c r="XFC13"/>
      <c r="XFD13"/>
    </row>
    <row r="14" spans="2:29 16369:16384" s="10" customFormat="1" ht="24.95" customHeight="1" x14ac:dyDescent="0.2">
      <c r="B14" s="34"/>
      <c r="C14" s="9"/>
      <c r="E14" s="11">
        <v>2019</v>
      </c>
      <c r="F14" s="12" t="s">
        <v>201</v>
      </c>
      <c r="G14" s="12">
        <v>53</v>
      </c>
      <c r="H14" s="12">
        <v>11</v>
      </c>
      <c r="I14" s="12">
        <v>4</v>
      </c>
      <c r="J14" s="12"/>
      <c r="K14" s="12"/>
      <c r="L14" s="13">
        <f>IFERROR(IF(Tabela2[[#This Row],[Ano]]="","",(H14+I14)/2/G14),"-")</f>
        <v>0.14150943396226415</v>
      </c>
      <c r="XEO14"/>
      <c r="XEP14"/>
      <c r="XEQ14"/>
      <c r="XER14"/>
      <c r="XES14"/>
      <c r="XET14"/>
      <c r="XEU14"/>
      <c r="XEV14"/>
      <c r="XEW14"/>
      <c r="XEX14"/>
      <c r="XEY14"/>
      <c r="XEZ14"/>
      <c r="XFA14"/>
      <c r="XFB14"/>
      <c r="XFC14"/>
      <c r="XFD14"/>
    </row>
    <row r="15" spans="2:29 16369:16384" s="10" customFormat="1" ht="24.95" customHeight="1" x14ac:dyDescent="0.2">
      <c r="B15" s="34"/>
      <c r="C15" s="9"/>
      <c r="E15" s="11">
        <v>2019</v>
      </c>
      <c r="F15" s="12" t="s">
        <v>202</v>
      </c>
      <c r="G15" s="12">
        <v>47</v>
      </c>
      <c r="H15" s="12">
        <v>0</v>
      </c>
      <c r="I15" s="12">
        <v>6</v>
      </c>
      <c r="J15" s="12"/>
      <c r="K15" s="12"/>
      <c r="L15" s="13">
        <f>IFERROR(IF(Tabela2[[#This Row],[Ano]]="","",(H15+I15)/2/G15),"-")</f>
        <v>6.3829787234042548E-2</v>
      </c>
      <c r="XEO15"/>
      <c r="XEP15"/>
      <c r="XEQ15"/>
      <c r="XER15"/>
      <c r="XES15"/>
      <c r="XET15"/>
      <c r="XEU15"/>
      <c r="XEV15"/>
      <c r="XEW15"/>
      <c r="XEX15"/>
      <c r="XEY15"/>
      <c r="XEZ15"/>
      <c r="XFA15"/>
      <c r="XFB15"/>
      <c r="XFC15"/>
      <c r="XFD15"/>
    </row>
    <row r="16" spans="2:29 16369:16384" s="10" customFormat="1" ht="24.95" customHeight="1" x14ac:dyDescent="0.2">
      <c r="B16" s="34"/>
      <c r="C16" s="9"/>
      <c r="E16" s="11">
        <v>2019</v>
      </c>
      <c r="F16" s="12" t="s">
        <v>203</v>
      </c>
      <c r="G16" s="12">
        <v>46</v>
      </c>
      <c r="H16" s="12">
        <v>2</v>
      </c>
      <c r="I16" s="12">
        <v>3</v>
      </c>
      <c r="J16" s="12"/>
      <c r="K16" s="12"/>
      <c r="L16" s="13">
        <f>IFERROR(IF(Tabela2[[#This Row],[Ano]]="","",(H16+I16)/2/G16),"-")</f>
        <v>5.434782608695652E-2</v>
      </c>
      <c r="XEO16"/>
      <c r="XEP16"/>
      <c r="XEQ16"/>
      <c r="XER16"/>
      <c r="XES16"/>
      <c r="XET16"/>
      <c r="XEU16"/>
      <c r="XEV16"/>
      <c r="XEW16"/>
      <c r="XEX16"/>
      <c r="XEY16"/>
      <c r="XEZ16"/>
      <c r="XFA16"/>
      <c r="XFB16"/>
      <c r="XFC16"/>
      <c r="XFD16"/>
    </row>
    <row r="17" spans="2:12 16369:16384" s="10" customFormat="1" ht="24.95" customHeight="1" x14ac:dyDescent="0.2">
      <c r="B17" s="34"/>
      <c r="C17" s="9"/>
      <c r="E17" s="11">
        <v>2019</v>
      </c>
      <c r="F17" s="12" t="s">
        <v>204</v>
      </c>
      <c r="G17" s="12">
        <v>92</v>
      </c>
      <c r="H17" s="12">
        <v>49</v>
      </c>
      <c r="I17" s="12">
        <v>3</v>
      </c>
      <c r="J17" s="12"/>
      <c r="K17" s="12"/>
      <c r="L17" s="13">
        <f>IFERROR(IF(Tabela2[[#This Row],[Ano]]="","",(H17+I17)/2/G17),"-")</f>
        <v>0.28260869565217389</v>
      </c>
      <c r="XEO17"/>
      <c r="XEP17"/>
      <c r="XEQ17"/>
      <c r="XER17"/>
      <c r="XES17"/>
      <c r="XET17"/>
      <c r="XEU17"/>
      <c r="XEV17"/>
      <c r="XEW17"/>
      <c r="XEX17"/>
      <c r="XEY17"/>
      <c r="XEZ17"/>
      <c r="XFA17"/>
      <c r="XFB17"/>
      <c r="XFC17"/>
      <c r="XFD17"/>
    </row>
    <row r="18" spans="2:12 16369:16384" s="10" customFormat="1" ht="24.95" customHeight="1" x14ac:dyDescent="0.2">
      <c r="B18" s="34"/>
      <c r="C18" s="9"/>
      <c r="E18" s="11">
        <v>2020</v>
      </c>
      <c r="F18" s="12" t="s">
        <v>193</v>
      </c>
      <c r="G18" s="12">
        <v>77</v>
      </c>
      <c r="H18" s="12">
        <v>1</v>
      </c>
      <c r="I18" s="12">
        <v>16</v>
      </c>
      <c r="J18" s="12"/>
      <c r="K18" s="12"/>
      <c r="L18" s="13">
        <f>IFERROR(IF(Tabela2[[#This Row],[Ano]]="","",(H18+I18)/2/G18),"-")</f>
        <v>0.11038961038961038</v>
      </c>
      <c r="XEO18"/>
      <c r="XEP18"/>
      <c r="XEQ18"/>
      <c r="XER18"/>
      <c r="XES18"/>
      <c r="XET18"/>
      <c r="XEU18"/>
      <c r="XEV18"/>
      <c r="XEW18"/>
      <c r="XEX18"/>
      <c r="XEY18"/>
      <c r="XEZ18"/>
      <c r="XFA18"/>
      <c r="XFB18"/>
      <c r="XFC18"/>
      <c r="XFD18"/>
    </row>
    <row r="19" spans="2:12 16369:16384" s="10" customFormat="1" ht="24.95" customHeight="1" x14ac:dyDescent="0.2">
      <c r="B19" s="34"/>
      <c r="C19" s="9"/>
      <c r="E19" s="11">
        <v>2020</v>
      </c>
      <c r="F19" s="12" t="s">
        <v>194</v>
      </c>
      <c r="G19" s="12">
        <v>73</v>
      </c>
      <c r="H19" s="12">
        <v>4</v>
      </c>
      <c r="I19" s="12">
        <v>8</v>
      </c>
      <c r="J19" s="12"/>
      <c r="K19" s="12"/>
      <c r="L19" s="13">
        <f>IFERROR(IF(Tabela2[[#This Row],[Ano]]="","",(H19+I19)/2/G19),"-")</f>
        <v>8.2191780821917804E-2</v>
      </c>
      <c r="XEO19"/>
      <c r="XEP19"/>
      <c r="XEQ19"/>
      <c r="XER19"/>
      <c r="XES19"/>
      <c r="XET19"/>
      <c r="XEU19"/>
      <c r="XEV19"/>
      <c r="XEW19"/>
      <c r="XEX19"/>
      <c r="XEY19"/>
      <c r="XEZ19"/>
      <c r="XFA19"/>
      <c r="XFB19"/>
      <c r="XFC19"/>
      <c r="XFD19"/>
    </row>
    <row r="20" spans="2:12 16369:16384" s="10" customFormat="1" ht="24.95" customHeight="1" x14ac:dyDescent="0.2">
      <c r="B20" s="34"/>
      <c r="C20" s="9"/>
      <c r="E20" s="11">
        <v>2020</v>
      </c>
      <c r="F20" s="12" t="s">
        <v>195</v>
      </c>
      <c r="G20" s="12">
        <v>72</v>
      </c>
      <c r="H20" s="12">
        <v>1</v>
      </c>
      <c r="I20" s="12">
        <v>2</v>
      </c>
      <c r="J20" s="12"/>
      <c r="K20" s="12"/>
      <c r="L20" s="13">
        <f>IFERROR(IF(Tabela2[[#This Row],[Ano]]="","",(H20+I20)/2/G20),"-")</f>
        <v>2.0833333333333332E-2</v>
      </c>
      <c r="XEO20"/>
      <c r="XEP20"/>
      <c r="XEQ20"/>
      <c r="XER20"/>
      <c r="XES20"/>
      <c r="XET20"/>
      <c r="XEU20"/>
      <c r="XEV20"/>
      <c r="XEW20"/>
      <c r="XEX20"/>
      <c r="XEY20"/>
      <c r="XEZ20"/>
      <c r="XFA20"/>
      <c r="XFB20"/>
      <c r="XFC20"/>
      <c r="XFD20"/>
    </row>
    <row r="21" spans="2:12 16369:16384" s="10" customFormat="1" ht="24.95" customHeight="1" x14ac:dyDescent="0.2">
      <c r="B21" s="34"/>
      <c r="C21" s="9"/>
      <c r="E21" s="11">
        <v>2020</v>
      </c>
      <c r="F21" s="12" t="s">
        <v>196</v>
      </c>
      <c r="G21" s="12">
        <f>G20+Tabela2[[#This Row],[nº de admissões]]-Tabela2[[#This Row],[nº de demissões]]</f>
        <v>98</v>
      </c>
      <c r="H21" s="12">
        <v>28</v>
      </c>
      <c r="I21" s="12">
        <v>2</v>
      </c>
      <c r="J21" s="12"/>
      <c r="K21" s="12"/>
      <c r="L21" s="13">
        <f>IFERROR(IF(Tabela2[[#This Row],[Ano]]="","",(H21+I21)/2/G21),"-")</f>
        <v>0.15306122448979592</v>
      </c>
      <c r="XEO21"/>
      <c r="XEP21"/>
      <c r="XEQ21"/>
      <c r="XER21"/>
      <c r="XES21"/>
      <c r="XET21"/>
      <c r="XEU21"/>
      <c r="XEV21"/>
      <c r="XEW21"/>
      <c r="XEX21"/>
      <c r="XEY21"/>
      <c r="XEZ21"/>
      <c r="XFA21"/>
      <c r="XFB21"/>
      <c r="XFC21"/>
      <c r="XFD21"/>
    </row>
    <row r="22" spans="2:12 16369:16384" s="10" customFormat="1" ht="24.95" customHeight="1" x14ac:dyDescent="0.2">
      <c r="B22" s="34"/>
      <c r="C22" s="9"/>
      <c r="E22" s="11">
        <v>2020</v>
      </c>
      <c r="F22" s="12" t="s">
        <v>197</v>
      </c>
      <c r="G22" s="12">
        <f>G21+Tabela2[[#This Row],[nº de admissões]]-Tabela2[[#This Row],[nº de demissões]]</f>
        <v>91</v>
      </c>
      <c r="H22" s="12">
        <v>0</v>
      </c>
      <c r="I22" s="12">
        <v>7</v>
      </c>
      <c r="J22" s="12"/>
      <c r="K22" s="12"/>
      <c r="L22" s="13">
        <f>IFERROR(IF(Tabela2[[#This Row],[Ano]]="","",(H22+I22)/2/G22),"-")</f>
        <v>3.8461538461538464E-2</v>
      </c>
      <c r="XEO22"/>
      <c r="XEP22"/>
      <c r="XEQ22"/>
      <c r="XER22"/>
      <c r="XES22"/>
      <c r="XET22"/>
      <c r="XEU22"/>
      <c r="XEV22"/>
      <c r="XEW22"/>
      <c r="XEX22"/>
      <c r="XEY22"/>
      <c r="XEZ22"/>
      <c r="XFA22"/>
      <c r="XFB22"/>
      <c r="XFC22"/>
      <c r="XFD22"/>
    </row>
    <row r="23" spans="2:12 16369:16384" s="10" customFormat="1" ht="24.95" customHeight="1" x14ac:dyDescent="0.2">
      <c r="B23" s="34"/>
      <c r="C23" s="9"/>
      <c r="E23" s="11">
        <v>2020</v>
      </c>
      <c r="F23" s="12" t="s">
        <v>198</v>
      </c>
      <c r="G23" s="12">
        <f>G22+Tabela2[[#This Row],[nº de admissões]]-Tabela2[[#This Row],[nº de demissões]]</f>
        <v>98</v>
      </c>
      <c r="H23" s="12">
        <v>8</v>
      </c>
      <c r="I23" s="12">
        <v>1</v>
      </c>
      <c r="J23" s="12"/>
      <c r="K23" s="12"/>
      <c r="L23" s="13">
        <f>IFERROR(IF(Tabela2[[#This Row],[Ano]]="","",(H23+I23)/2/G23),"-")</f>
        <v>4.5918367346938778E-2</v>
      </c>
      <c r="XEO23"/>
      <c r="XEP23"/>
      <c r="XEQ23"/>
      <c r="XER23"/>
      <c r="XES23"/>
      <c r="XET23"/>
      <c r="XEU23"/>
      <c r="XEV23"/>
      <c r="XEW23"/>
      <c r="XEX23"/>
      <c r="XEY23"/>
      <c r="XEZ23"/>
      <c r="XFA23"/>
      <c r="XFB23"/>
      <c r="XFC23"/>
      <c r="XFD23"/>
    </row>
    <row r="24" spans="2:12 16369:16384" s="10" customFormat="1" ht="24.95" customHeight="1" x14ac:dyDescent="0.2">
      <c r="B24" s="34"/>
      <c r="C24" s="9"/>
      <c r="E24" s="11">
        <v>2020</v>
      </c>
      <c r="F24" s="12" t="s">
        <v>199</v>
      </c>
      <c r="G24" s="12">
        <f>G23+Tabela2[[#This Row],[nº de admissões]]-Tabela2[[#This Row],[nº de demissões]]</f>
        <v>88</v>
      </c>
      <c r="H24" s="12">
        <v>0</v>
      </c>
      <c r="I24" s="12">
        <v>10</v>
      </c>
      <c r="J24" s="12"/>
      <c r="K24" s="12"/>
      <c r="L24" s="13">
        <f>IFERROR(IF(Tabela2[[#This Row],[Ano]]="","",(H24+I24)/2/G24),"-")</f>
        <v>5.6818181818181816E-2</v>
      </c>
      <c r="XEO24"/>
      <c r="XEP24"/>
      <c r="XEQ24"/>
      <c r="XER24"/>
      <c r="XES24"/>
      <c r="XET24"/>
      <c r="XEU24"/>
      <c r="XEV24"/>
      <c r="XEW24"/>
      <c r="XEX24"/>
      <c r="XEY24"/>
      <c r="XEZ24"/>
      <c r="XFA24"/>
      <c r="XFB24"/>
      <c r="XFC24"/>
      <c r="XFD24"/>
    </row>
    <row r="25" spans="2:12 16369:16384" s="10" customFormat="1" ht="24.95" customHeight="1" x14ac:dyDescent="0.2">
      <c r="B25" s="34"/>
      <c r="C25" s="9"/>
      <c r="E25" s="11">
        <v>2020</v>
      </c>
      <c r="F25" s="12" t="s">
        <v>200</v>
      </c>
      <c r="G25" s="12">
        <f>G24+Tabela2[[#This Row],[nº de admissões]]-Tabela2[[#This Row],[nº de demissões]]</f>
        <v>95</v>
      </c>
      <c r="H25" s="12">
        <v>11</v>
      </c>
      <c r="I25" s="12">
        <v>4</v>
      </c>
      <c r="J25" s="12"/>
      <c r="K25" s="12"/>
      <c r="L25" s="13">
        <f>IFERROR(IF(Tabela2[[#This Row],[Ano]]="","",(H25+I25)/2/G25),"-")</f>
        <v>7.8947368421052627E-2</v>
      </c>
      <c r="XEO25"/>
      <c r="XEP25"/>
      <c r="XEQ25"/>
      <c r="XER25"/>
      <c r="XES25"/>
      <c r="XET25"/>
      <c r="XEU25"/>
      <c r="XEV25"/>
      <c r="XEW25"/>
      <c r="XEX25"/>
      <c r="XEY25"/>
      <c r="XEZ25"/>
      <c r="XFA25"/>
      <c r="XFB25"/>
      <c r="XFC25"/>
      <c r="XFD25"/>
    </row>
    <row r="26" spans="2:12 16369:16384" s="10" customFormat="1" ht="24.95" customHeight="1" x14ac:dyDescent="0.2">
      <c r="B26" s="34"/>
      <c r="C26" s="9"/>
      <c r="E26" s="11">
        <v>2020</v>
      </c>
      <c r="F26" s="12" t="s">
        <v>201</v>
      </c>
      <c r="G26" s="12">
        <f>G25+Tabela2[[#This Row],[nº de admissões]]-Tabela2[[#This Row],[nº de demissões]]</f>
        <v>95</v>
      </c>
      <c r="H26" s="12">
        <v>6</v>
      </c>
      <c r="I26" s="12">
        <v>6</v>
      </c>
      <c r="J26" s="12"/>
      <c r="K26" s="12"/>
      <c r="L26" s="13">
        <f>IFERROR(IF(Tabela2[[#This Row],[Ano]]="","",(H26+I26)/2/G26),"-")</f>
        <v>6.3157894736842107E-2</v>
      </c>
      <c r="XEO26"/>
      <c r="XEP26"/>
      <c r="XEQ26"/>
      <c r="XER26"/>
      <c r="XES26"/>
      <c r="XET26"/>
      <c r="XEU26"/>
      <c r="XEV26"/>
      <c r="XEW26"/>
      <c r="XEX26"/>
      <c r="XEY26"/>
      <c r="XEZ26"/>
      <c r="XFA26"/>
      <c r="XFB26"/>
      <c r="XFC26"/>
      <c r="XFD26"/>
    </row>
    <row r="27" spans="2:12 16369:16384" s="10" customFormat="1" ht="24.95" customHeight="1" x14ac:dyDescent="0.2">
      <c r="B27" s="34"/>
      <c r="C27" s="9"/>
      <c r="E27" s="11">
        <v>2020</v>
      </c>
      <c r="F27" s="12" t="s">
        <v>202</v>
      </c>
      <c r="G27" s="12">
        <f>G26+Tabela2[[#This Row],[nº de admissões]]-Tabela2[[#This Row],[nº de demissões]]</f>
        <v>91</v>
      </c>
      <c r="H27" s="12">
        <v>3</v>
      </c>
      <c r="I27" s="12">
        <v>7</v>
      </c>
      <c r="J27" s="12"/>
      <c r="K27" s="12"/>
      <c r="L27" s="13">
        <f>IFERROR(IF(Tabela2[[#This Row],[Ano]]="","",(H27+I27)/2/G27),"-")</f>
        <v>5.4945054945054944E-2</v>
      </c>
      <c r="XEO27"/>
      <c r="XEP27"/>
      <c r="XEQ27"/>
      <c r="XER27"/>
      <c r="XES27"/>
      <c r="XET27"/>
      <c r="XEU27"/>
      <c r="XEV27"/>
      <c r="XEW27"/>
      <c r="XEX27"/>
      <c r="XEY27"/>
      <c r="XEZ27"/>
      <c r="XFA27"/>
      <c r="XFB27"/>
      <c r="XFC27"/>
      <c r="XFD27"/>
    </row>
    <row r="28" spans="2:12 16369:16384" s="10" customFormat="1" ht="24.95" customHeight="1" x14ac:dyDescent="0.2">
      <c r="B28" s="34"/>
      <c r="C28" s="9"/>
      <c r="E28" s="11">
        <v>2020</v>
      </c>
      <c r="F28" s="12" t="s">
        <v>203</v>
      </c>
      <c r="G28" s="12">
        <f>G27+Tabela2[[#This Row],[nº de admissões]]-Tabela2[[#This Row],[nº de demissões]]</f>
        <v>91</v>
      </c>
      <c r="H28" s="12">
        <v>8</v>
      </c>
      <c r="I28" s="12">
        <v>8</v>
      </c>
      <c r="J28" s="12"/>
      <c r="K28" s="12"/>
      <c r="L28" s="13">
        <f>IFERROR(IF(Tabela2[[#This Row],[Ano]]="","",(H28+I28)/2/G28),"-")</f>
        <v>8.7912087912087919E-2</v>
      </c>
      <c r="XEO28"/>
      <c r="XEP28"/>
      <c r="XEQ28"/>
      <c r="XER28"/>
      <c r="XES28"/>
      <c r="XET28"/>
      <c r="XEU28"/>
      <c r="XEV28"/>
      <c r="XEW28"/>
      <c r="XEX28"/>
      <c r="XEY28"/>
      <c r="XEZ28"/>
      <c r="XFA28"/>
      <c r="XFB28"/>
      <c r="XFC28"/>
      <c r="XFD28"/>
    </row>
    <row r="29" spans="2:12 16369:16384" s="10" customFormat="1" ht="24.95" customHeight="1" x14ac:dyDescent="0.2">
      <c r="B29" s="34"/>
      <c r="C29" s="9"/>
      <c r="E29" s="11">
        <v>2020</v>
      </c>
      <c r="F29" s="12" t="s">
        <v>204</v>
      </c>
      <c r="G29" s="12">
        <f>G28+Tabela2[[#This Row],[nº de admissões]]-Tabela2[[#This Row],[nº de demissões]]</f>
        <v>91</v>
      </c>
      <c r="H29" s="12">
        <v>2</v>
      </c>
      <c r="I29" s="12">
        <v>2</v>
      </c>
      <c r="J29" s="12"/>
      <c r="K29" s="12"/>
      <c r="L29" s="13">
        <f>IFERROR(IF(Tabela2[[#This Row],[Ano]]="","",(H29+I29)/2/G29),"-")</f>
        <v>2.197802197802198E-2</v>
      </c>
      <c r="XEO29"/>
      <c r="XEP29"/>
      <c r="XEQ29"/>
      <c r="XER29"/>
      <c r="XES29"/>
      <c r="XET29"/>
      <c r="XEU29"/>
      <c r="XEV29"/>
      <c r="XEW29"/>
      <c r="XEX29"/>
      <c r="XEY29"/>
      <c r="XEZ29"/>
      <c r="XFA29"/>
      <c r="XFB29"/>
      <c r="XFC29"/>
      <c r="XFD29"/>
    </row>
    <row r="30" spans="2:12 16369:16384" s="10" customFormat="1" ht="24.95" customHeight="1" x14ac:dyDescent="0.2">
      <c r="B30" s="34"/>
      <c r="C30" s="9"/>
      <c r="E30" s="11">
        <v>2021</v>
      </c>
      <c r="F30" s="12" t="s">
        <v>193</v>
      </c>
      <c r="G30" s="12">
        <f>G29+Tabela2[[#This Row],[nº de admissões]]-Tabela2[[#This Row],[nº de demissões]]</f>
        <v>84</v>
      </c>
      <c r="H30" s="12">
        <v>0</v>
      </c>
      <c r="I30" s="12">
        <v>7</v>
      </c>
      <c r="J30" s="12"/>
      <c r="K30" s="12"/>
      <c r="L30" s="13">
        <f>IFERROR(IF(Tabela2[[#This Row],[Ano]]="","",(H30+I30)/2/G30),"-")</f>
        <v>4.1666666666666664E-2</v>
      </c>
      <c r="XEO30"/>
      <c r="XEP30"/>
      <c r="XEQ30"/>
      <c r="XER30"/>
      <c r="XES30"/>
      <c r="XET30"/>
      <c r="XEU30"/>
      <c r="XEV30"/>
      <c r="XEW30"/>
      <c r="XEX30"/>
      <c r="XEY30"/>
      <c r="XEZ30"/>
      <c r="XFA30"/>
      <c r="XFB30"/>
      <c r="XFC30"/>
      <c r="XFD30"/>
    </row>
    <row r="31" spans="2:12 16369:16384" s="10" customFormat="1" ht="24.95" customHeight="1" x14ac:dyDescent="0.2">
      <c r="B31" s="34"/>
      <c r="C31" s="9"/>
      <c r="E31" s="11">
        <v>2021</v>
      </c>
      <c r="F31" s="12" t="s">
        <v>194</v>
      </c>
      <c r="G31" s="12">
        <f>G30+Tabela2[[#This Row],[nº de admissões]]-Tabela2[[#This Row],[nº de demissões]]</f>
        <v>71</v>
      </c>
      <c r="H31" s="12">
        <v>0</v>
      </c>
      <c r="I31" s="12">
        <v>13</v>
      </c>
      <c r="J31" s="12"/>
      <c r="K31" s="12"/>
      <c r="L31" s="13">
        <f>IFERROR(IF(Tabela2[[#This Row],[Ano]]="","",(H31+I31)/2/G31),"-")</f>
        <v>9.154929577464789E-2</v>
      </c>
      <c r="XEO31"/>
      <c r="XEP31"/>
      <c r="XEQ31"/>
      <c r="XER31"/>
      <c r="XES31"/>
      <c r="XET31"/>
      <c r="XEU31"/>
      <c r="XEV31"/>
      <c r="XEW31"/>
      <c r="XEX31"/>
      <c r="XEY31"/>
      <c r="XEZ31"/>
      <c r="XFA31"/>
      <c r="XFB31"/>
      <c r="XFC31"/>
      <c r="XFD31"/>
    </row>
    <row r="32" spans="2:12 16369:16384" s="10" customFormat="1" ht="24.95" customHeight="1" x14ac:dyDescent="0.2">
      <c r="B32" s="34"/>
      <c r="C32" s="9"/>
      <c r="E32" s="11">
        <v>2021</v>
      </c>
      <c r="F32" s="12" t="s">
        <v>195</v>
      </c>
      <c r="G32" s="12">
        <f>G31+Tabela2[[#This Row],[nº de admissões]]-Tabela2[[#This Row],[nº de demissões]]</f>
        <v>50</v>
      </c>
      <c r="H32" s="12">
        <v>0</v>
      </c>
      <c r="I32" s="12">
        <v>21</v>
      </c>
      <c r="J32" s="12"/>
      <c r="K32" s="12"/>
      <c r="L32" s="13">
        <f>IFERROR(IF(Tabela2[[#This Row],[Ano]]="","",(H32+I32)/2/G32),"-")</f>
        <v>0.21</v>
      </c>
      <c r="XEO32"/>
      <c r="XEP32"/>
      <c r="XEQ32"/>
      <c r="XER32"/>
      <c r="XES32"/>
      <c r="XET32"/>
      <c r="XEU32"/>
      <c r="XEV32"/>
      <c r="XEW32"/>
      <c r="XEX32"/>
      <c r="XEY32"/>
      <c r="XEZ32"/>
      <c r="XFA32"/>
      <c r="XFB32"/>
      <c r="XFC32"/>
      <c r="XFD32"/>
    </row>
    <row r="33" spans="2:12 16369:16384" s="10" customFormat="1" ht="24.95" customHeight="1" x14ac:dyDescent="0.2">
      <c r="B33" s="34"/>
      <c r="C33" s="9"/>
      <c r="E33" s="11">
        <v>2021</v>
      </c>
      <c r="F33" s="12" t="s">
        <v>196</v>
      </c>
      <c r="G33" s="12">
        <f>G32+Tabela2[[#This Row],[nº de admissões]]-Tabela2[[#This Row],[nº de demissões]]</f>
        <v>50</v>
      </c>
      <c r="H33" s="12">
        <v>1</v>
      </c>
      <c r="I33" s="12">
        <v>1</v>
      </c>
      <c r="J33" s="12"/>
      <c r="K33" s="12"/>
      <c r="L33" s="13">
        <f>IFERROR(IF(Tabela2[[#This Row],[Ano]]="","",(H33+I33)/2/G33),"-")</f>
        <v>0.02</v>
      </c>
      <c r="XEO33"/>
      <c r="XEP33"/>
      <c r="XEQ33"/>
      <c r="XER33"/>
      <c r="XES33"/>
      <c r="XET33"/>
      <c r="XEU33"/>
      <c r="XEV33"/>
      <c r="XEW33"/>
      <c r="XEX33"/>
      <c r="XEY33"/>
      <c r="XEZ33"/>
      <c r="XFA33"/>
      <c r="XFB33"/>
      <c r="XFC33"/>
      <c r="XFD33"/>
    </row>
    <row r="34" spans="2:12 16369:16384" s="10" customFormat="1" ht="24.95" customHeight="1" x14ac:dyDescent="0.2">
      <c r="B34" s="34"/>
      <c r="C34" s="9"/>
      <c r="E34" s="11">
        <v>2021</v>
      </c>
      <c r="F34" s="12" t="s">
        <v>197</v>
      </c>
      <c r="G34" s="12">
        <f>G33+Tabela2[[#This Row],[nº de admissões]]-Tabela2[[#This Row],[nº de demissões]]</f>
        <v>66</v>
      </c>
      <c r="H34" s="12">
        <v>22</v>
      </c>
      <c r="I34" s="12">
        <v>6</v>
      </c>
      <c r="J34" s="12"/>
      <c r="K34" s="12"/>
      <c r="L34" s="13">
        <f>IFERROR(IF(Tabela2[[#This Row],[Ano]]="","",(H34+I34)/2/G34),"-")</f>
        <v>0.21212121212121213</v>
      </c>
      <c r="XEO34"/>
      <c r="XEP34"/>
      <c r="XEQ34"/>
      <c r="XER34"/>
      <c r="XES34"/>
      <c r="XET34"/>
      <c r="XEU34"/>
      <c r="XEV34"/>
      <c r="XEW34"/>
      <c r="XEX34"/>
      <c r="XEY34"/>
      <c r="XEZ34"/>
      <c r="XFA34"/>
      <c r="XFB34"/>
      <c r="XFC34"/>
      <c r="XFD34"/>
    </row>
    <row r="35" spans="2:12 16369:16384" s="10" customFormat="1" ht="24.95" customHeight="1" x14ac:dyDescent="0.2">
      <c r="B35" s="34"/>
      <c r="C35" s="9"/>
      <c r="E35" s="11">
        <v>2021</v>
      </c>
      <c r="F35" s="12" t="s">
        <v>198</v>
      </c>
      <c r="G35" s="12">
        <f>G34+Tabela2[[#This Row],[nº de admissões]]-Tabela2[[#This Row],[nº de demissões]]</f>
        <v>63</v>
      </c>
      <c r="H35" s="12">
        <v>1</v>
      </c>
      <c r="I35" s="12">
        <v>4</v>
      </c>
      <c r="J35" s="12"/>
      <c r="K35" s="12"/>
      <c r="L35" s="13">
        <f>IFERROR(IF(Tabela2[[#This Row],[Ano]]="","",(H35+I35)/2/G35),"-")</f>
        <v>3.968253968253968E-2</v>
      </c>
      <c r="XEO35"/>
      <c r="XEP35"/>
      <c r="XEQ35"/>
      <c r="XER35"/>
      <c r="XES35"/>
      <c r="XET35"/>
      <c r="XEU35"/>
      <c r="XEV35"/>
      <c r="XEW35"/>
      <c r="XEX35"/>
      <c r="XEY35"/>
      <c r="XEZ35"/>
      <c r="XFA35"/>
      <c r="XFB35"/>
      <c r="XFC35"/>
      <c r="XFD35"/>
    </row>
    <row r="36" spans="2:12 16369:16384" s="10" customFormat="1" ht="24.95" customHeight="1" x14ac:dyDescent="0.2">
      <c r="B36" s="34"/>
      <c r="C36" s="9"/>
      <c r="E36" s="11">
        <v>2021</v>
      </c>
      <c r="F36" s="12" t="s">
        <v>199</v>
      </c>
      <c r="G36" s="12">
        <f>G35+Tabela2[[#This Row],[nº de admissões]]-Tabela2[[#This Row],[nº de demissões]]</f>
        <v>89</v>
      </c>
      <c r="H36" s="12">
        <v>28</v>
      </c>
      <c r="I36" s="12">
        <v>2</v>
      </c>
      <c r="J36" s="12"/>
      <c r="K36" s="12"/>
      <c r="L36" s="13">
        <f>IFERROR(IF(Tabela2[[#This Row],[Ano]]="","",(H36+I36)/2/G36),"-")</f>
        <v>0.16853932584269662</v>
      </c>
      <c r="XEO36"/>
      <c r="XEP36"/>
      <c r="XEQ36"/>
      <c r="XER36"/>
      <c r="XES36"/>
      <c r="XET36"/>
      <c r="XEU36"/>
      <c r="XEV36"/>
      <c r="XEW36"/>
      <c r="XEX36"/>
      <c r="XEY36"/>
      <c r="XEZ36"/>
      <c r="XFA36"/>
      <c r="XFB36"/>
      <c r="XFC36"/>
      <c r="XFD36"/>
    </row>
    <row r="37" spans="2:12 16369:16384" s="10" customFormat="1" ht="24.95" customHeight="1" x14ac:dyDescent="0.2">
      <c r="B37" s="34"/>
      <c r="C37" s="9"/>
      <c r="E37" s="11">
        <v>2021</v>
      </c>
      <c r="F37" s="12" t="s">
        <v>200</v>
      </c>
      <c r="G37" s="12">
        <f>G36+Tabela2[[#This Row],[nº de admissões]]-Tabela2[[#This Row],[nº de demissões]]</f>
        <v>89</v>
      </c>
      <c r="H37" s="12">
        <v>2</v>
      </c>
      <c r="I37" s="12">
        <v>2</v>
      </c>
      <c r="J37" s="12"/>
      <c r="K37" s="12"/>
      <c r="L37" s="13">
        <f>IFERROR(IF(Tabela2[[#This Row],[Ano]]="","",(H37+I37)/2/G37),"-")</f>
        <v>2.247191011235955E-2</v>
      </c>
      <c r="XEO37"/>
      <c r="XEP37"/>
      <c r="XEQ37"/>
      <c r="XER37"/>
      <c r="XES37"/>
      <c r="XET37"/>
      <c r="XEU37"/>
      <c r="XEV37"/>
      <c r="XEW37"/>
      <c r="XEX37"/>
      <c r="XEY37"/>
      <c r="XEZ37"/>
      <c r="XFA37"/>
      <c r="XFB37"/>
      <c r="XFC37"/>
      <c r="XFD37"/>
    </row>
    <row r="38" spans="2:12 16369:16384" s="10" customFormat="1" ht="24.95" customHeight="1" x14ac:dyDescent="0.2">
      <c r="B38" s="34"/>
      <c r="C38" s="9"/>
      <c r="E38" s="11">
        <v>2021</v>
      </c>
      <c r="F38" s="12" t="s">
        <v>201</v>
      </c>
      <c r="G38" s="12">
        <f>G37+Tabela2[[#This Row],[nº de admissões]]-Tabela2[[#This Row],[nº de demissões]]</f>
        <v>83</v>
      </c>
      <c r="H38" s="12">
        <v>1</v>
      </c>
      <c r="I38" s="12">
        <v>7</v>
      </c>
      <c r="J38" s="12"/>
      <c r="K38" s="12"/>
      <c r="L38" s="13">
        <f>IFERROR(IF(Tabela2[[#This Row],[Ano]]="","",(H38+I38)/2/G38),"-")</f>
        <v>4.8192771084337352E-2</v>
      </c>
      <c r="XEO38"/>
      <c r="XEP38"/>
      <c r="XEQ38"/>
      <c r="XER38"/>
      <c r="XES38"/>
      <c r="XET38"/>
      <c r="XEU38"/>
      <c r="XEV38"/>
      <c r="XEW38"/>
      <c r="XEX38"/>
      <c r="XEY38"/>
      <c r="XEZ38"/>
      <c r="XFA38"/>
      <c r="XFB38"/>
      <c r="XFC38"/>
      <c r="XFD38"/>
    </row>
    <row r="39" spans="2:12 16369:16384" s="10" customFormat="1" ht="24.95" customHeight="1" x14ac:dyDescent="0.2">
      <c r="B39" s="34"/>
      <c r="C39" s="9"/>
      <c r="E39" s="11">
        <v>2021</v>
      </c>
      <c r="F39" s="12" t="s">
        <v>202</v>
      </c>
      <c r="G39" s="12">
        <f>G38+Tabela2[[#This Row],[nº de admissões]]-Tabela2[[#This Row],[nº de demissões]]</f>
        <v>78</v>
      </c>
      <c r="H39" s="12">
        <v>0</v>
      </c>
      <c r="I39" s="12">
        <v>5</v>
      </c>
      <c r="J39" s="12"/>
      <c r="K39" s="12"/>
      <c r="L39" s="13">
        <f>IFERROR(IF(Tabela2[[#This Row],[Ano]]="","",(H39+I39)/2/G39),"-")</f>
        <v>3.2051282051282048E-2</v>
      </c>
      <c r="XEO39"/>
      <c r="XEP39"/>
      <c r="XEQ39"/>
      <c r="XER39"/>
      <c r="XES39"/>
      <c r="XET39"/>
      <c r="XEU39"/>
      <c r="XEV39"/>
      <c r="XEW39"/>
      <c r="XEX39"/>
      <c r="XEY39"/>
      <c r="XEZ39"/>
      <c r="XFA39"/>
      <c r="XFB39"/>
      <c r="XFC39"/>
      <c r="XFD39"/>
    </row>
    <row r="40" spans="2:12 16369:16384" s="10" customFormat="1" ht="24.95" customHeight="1" x14ac:dyDescent="0.2">
      <c r="B40" s="34"/>
      <c r="C40" s="9"/>
      <c r="E40" s="11">
        <v>2021</v>
      </c>
      <c r="F40" s="12" t="s">
        <v>203</v>
      </c>
      <c r="G40" s="12">
        <f>G39+Tabela2[[#This Row],[nº de admissões]]-Tabela2[[#This Row],[nº de demissões]]</f>
        <v>78</v>
      </c>
      <c r="H40" s="12">
        <v>0</v>
      </c>
      <c r="I40" s="12">
        <v>0</v>
      </c>
      <c r="J40" s="12"/>
      <c r="K40" s="12"/>
      <c r="L40" s="13">
        <f>IFERROR(IF(Tabela2[[#This Row],[Ano]]="","",(H40+I40)/2/G40),"-")</f>
        <v>0</v>
      </c>
      <c r="XEO40"/>
      <c r="XEP40"/>
      <c r="XEQ40"/>
      <c r="XER40"/>
      <c r="XES40"/>
      <c r="XET40"/>
      <c r="XEU40"/>
      <c r="XEV40"/>
      <c r="XEW40"/>
      <c r="XEX40"/>
      <c r="XEY40"/>
      <c r="XEZ40"/>
      <c r="XFA40"/>
      <c r="XFB40"/>
      <c r="XFC40"/>
      <c r="XFD40"/>
    </row>
    <row r="41" spans="2:12 16369:16384" s="10" customFormat="1" ht="24.95" customHeight="1" x14ac:dyDescent="0.2">
      <c r="B41" s="34"/>
      <c r="C41" s="9"/>
      <c r="E41" s="11">
        <v>2021</v>
      </c>
      <c r="F41" s="12" t="s">
        <v>204</v>
      </c>
      <c r="G41" s="12">
        <f>G40+Tabela2[[#This Row],[nº de admissões]]-Tabela2[[#This Row],[nº de demissões]]</f>
        <v>77</v>
      </c>
      <c r="H41" s="12">
        <v>0</v>
      </c>
      <c r="I41" s="12">
        <v>1</v>
      </c>
      <c r="J41" s="12"/>
      <c r="K41" s="12"/>
      <c r="L41" s="13">
        <f>IFERROR(IF(Tabela2[[#This Row],[Ano]]="","",(H41+I41)/2/G41),"-")</f>
        <v>6.4935064935064939E-3</v>
      </c>
      <c r="XEO41"/>
      <c r="XEP41"/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2:12 16369:16384" s="10" customFormat="1" ht="24.95" customHeight="1" x14ac:dyDescent="0.2">
      <c r="B42" s="34"/>
      <c r="C42" s="9"/>
      <c r="E42" s="11">
        <v>2022</v>
      </c>
      <c r="F42" s="12" t="s">
        <v>193</v>
      </c>
      <c r="G42" s="12">
        <f>G41+Tabela2[[#This Row],[nº de admissões]]-Tabela2[[#This Row],[nº de demissões]]</f>
        <v>76</v>
      </c>
      <c r="H42" s="12">
        <v>0</v>
      </c>
      <c r="I42" s="12">
        <v>1</v>
      </c>
      <c r="J42" s="12"/>
      <c r="K42" s="12"/>
      <c r="L42" s="13">
        <f>IFERROR(IF(Tabela2[[#This Row],[Ano]]="","",(H42+I42)/2/G42),"-")</f>
        <v>6.5789473684210523E-3</v>
      </c>
      <c r="XEO42"/>
      <c r="XEP42"/>
      <c r="XEQ42"/>
      <c r="XER42"/>
      <c r="XES42"/>
      <c r="XET42"/>
      <c r="XEU42"/>
      <c r="XEV42"/>
      <c r="XEW42"/>
      <c r="XEX42"/>
      <c r="XEY42"/>
      <c r="XEZ42"/>
      <c r="XFA42"/>
      <c r="XFB42"/>
      <c r="XFC42"/>
      <c r="XFD42"/>
    </row>
    <row r="43" spans="2:12 16369:16384" s="10" customFormat="1" ht="24.95" customHeight="1" x14ac:dyDescent="0.2">
      <c r="B43" s="34"/>
      <c r="C43" s="9"/>
      <c r="E43" s="11">
        <v>2022</v>
      </c>
      <c r="F43" s="12" t="s">
        <v>194</v>
      </c>
      <c r="G43" s="12">
        <f>G42+Tabela2[[#This Row],[nº de admissões]]-Tabela2[[#This Row],[nº de demissões]]</f>
        <v>79</v>
      </c>
      <c r="H43" s="12">
        <v>5</v>
      </c>
      <c r="I43" s="12">
        <v>2</v>
      </c>
      <c r="J43" s="12"/>
      <c r="K43" s="12"/>
      <c r="L43" s="13">
        <f>IFERROR(IF(Tabela2[[#This Row],[Ano]]="","",(H43+I43)/2/G43),"-")</f>
        <v>4.4303797468354431E-2</v>
      </c>
      <c r="XEO43"/>
      <c r="XEP43"/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2:12 16369:16384" s="10" customFormat="1" ht="24.95" customHeight="1" x14ac:dyDescent="0.2">
      <c r="B44" s="34"/>
      <c r="C44" s="9"/>
      <c r="E44" s="11">
        <v>2022</v>
      </c>
      <c r="F44" s="12" t="s">
        <v>195</v>
      </c>
      <c r="G44" s="12">
        <f>G43+Tabela2[[#This Row],[nº de admissões]]-Tabela2[[#This Row],[nº de demissões]]</f>
        <v>78</v>
      </c>
      <c r="H44" s="12">
        <v>1</v>
      </c>
      <c r="I44" s="12">
        <v>2</v>
      </c>
      <c r="J44" s="12"/>
      <c r="K44" s="12"/>
      <c r="L44" s="13">
        <f>IFERROR(IF(Tabela2[[#This Row],[Ano]]="","",(H44+I44)/2/G44),"-")</f>
        <v>1.9230769230769232E-2</v>
      </c>
      <c r="XEO44"/>
      <c r="XEP44"/>
      <c r="XEQ44"/>
      <c r="XER44"/>
      <c r="XES44"/>
      <c r="XET44"/>
      <c r="XEU44"/>
      <c r="XEV44"/>
      <c r="XEW44"/>
      <c r="XEX44"/>
      <c r="XEY44"/>
      <c r="XEZ44"/>
      <c r="XFA44"/>
      <c r="XFB44"/>
      <c r="XFC44"/>
      <c r="XFD44"/>
    </row>
    <row r="45" spans="2:12 16369:16384" s="10" customFormat="1" ht="24.95" customHeight="1" x14ac:dyDescent="0.2">
      <c r="B45" s="34"/>
      <c r="C45" s="9"/>
      <c r="E45" s="11">
        <v>2022</v>
      </c>
      <c r="F45" s="12" t="s">
        <v>196</v>
      </c>
      <c r="G45" s="12">
        <f>G44+Tabela2[[#This Row],[nº de admissões]]-Tabela2[[#This Row],[nº de demissões]]</f>
        <v>55</v>
      </c>
      <c r="H45" s="12">
        <v>1</v>
      </c>
      <c r="I45" s="12">
        <v>24</v>
      </c>
      <c r="J45" s="12"/>
      <c r="K45" s="12"/>
      <c r="L45" s="13">
        <f>IFERROR(IF(Tabela2[[#This Row],[Ano]]="","",(H45+I45)/2/G45),"-")</f>
        <v>0.22727272727272727</v>
      </c>
      <c r="XEO45"/>
      <c r="XEP45"/>
      <c r="XEQ45"/>
      <c r="XER45"/>
      <c r="XES45"/>
      <c r="XET45"/>
      <c r="XEU45"/>
      <c r="XEV45"/>
      <c r="XEW45"/>
      <c r="XEX45"/>
      <c r="XEY45"/>
      <c r="XEZ45"/>
      <c r="XFA45"/>
      <c r="XFB45"/>
      <c r="XFC45"/>
      <c r="XFD45"/>
    </row>
    <row r="46" spans="2:12 16369:16384" s="10" customFormat="1" ht="24.95" customHeight="1" x14ac:dyDescent="0.2">
      <c r="B46" s="34"/>
      <c r="C46" s="9"/>
      <c r="E46" s="11">
        <v>2022</v>
      </c>
      <c r="F46" s="12" t="s">
        <v>197</v>
      </c>
      <c r="G46" s="12">
        <f>G45+Tabela2[[#This Row],[nº de admissões]]-Tabela2[[#This Row],[nº de demissões]]</f>
        <v>45</v>
      </c>
      <c r="H46" s="12">
        <v>0</v>
      </c>
      <c r="I46" s="12">
        <v>10</v>
      </c>
      <c r="J46" s="12"/>
      <c r="K46" s="12"/>
      <c r="L46" s="13">
        <f>IFERROR(IF(Tabela2[[#This Row],[Ano]]="","",(H46+I46)/2/G46),"-")</f>
        <v>0.1111111111111111</v>
      </c>
      <c r="XEO46"/>
      <c r="XEP46"/>
      <c r="XEQ46"/>
      <c r="XER46"/>
      <c r="XES46"/>
      <c r="XET46"/>
      <c r="XEU46"/>
      <c r="XEV46"/>
      <c r="XEW46"/>
      <c r="XEX46"/>
      <c r="XEY46"/>
      <c r="XEZ46"/>
      <c r="XFA46"/>
      <c r="XFB46"/>
      <c r="XFC46"/>
      <c r="XFD46"/>
    </row>
    <row r="47" spans="2:12 16369:16384" s="10" customFormat="1" ht="24.95" customHeight="1" x14ac:dyDescent="0.2">
      <c r="B47" s="34"/>
      <c r="C47" s="9"/>
      <c r="E47" s="11">
        <v>2022</v>
      </c>
      <c r="F47" s="12" t="s">
        <v>198</v>
      </c>
      <c r="G47" s="12">
        <f>G46+Tabela2[[#This Row],[nº de admissões]]-Tabela2[[#This Row],[nº de demissões]]</f>
        <v>45</v>
      </c>
      <c r="H47" s="12">
        <v>0</v>
      </c>
      <c r="I47" s="12">
        <v>0</v>
      </c>
      <c r="J47" s="12"/>
      <c r="K47" s="12"/>
      <c r="L47" s="13">
        <f>IFERROR(IF(Tabela2[[#This Row],[Ano]]="","",(H47+I47)/2/G47),"-")</f>
        <v>0</v>
      </c>
      <c r="XEO47"/>
      <c r="XEP47"/>
      <c r="XEQ47"/>
      <c r="XER47"/>
      <c r="XES47"/>
      <c r="XET47"/>
      <c r="XEU47"/>
      <c r="XEV47"/>
      <c r="XEW47"/>
      <c r="XEX47"/>
      <c r="XEY47"/>
      <c r="XEZ47"/>
      <c r="XFA47"/>
      <c r="XFB47"/>
      <c r="XFC47"/>
      <c r="XFD47"/>
    </row>
    <row r="48" spans="2:12 16369:16384" s="10" customFormat="1" ht="24.95" customHeight="1" x14ac:dyDescent="0.2">
      <c r="B48" s="34"/>
      <c r="C48" s="9"/>
      <c r="E48" s="11">
        <v>2022</v>
      </c>
      <c r="F48" s="12" t="s">
        <v>199</v>
      </c>
      <c r="G48" s="12">
        <f>G47+Tabela2[[#This Row],[nº de admissões]]-Tabela2[[#This Row],[nº de demissões]]</f>
        <v>56</v>
      </c>
      <c r="H48" s="12">
        <v>12</v>
      </c>
      <c r="I48" s="12">
        <v>1</v>
      </c>
      <c r="J48" s="12"/>
      <c r="K48" s="12"/>
      <c r="L48" s="13">
        <f>IFERROR(IF(Tabela2[[#This Row],[Ano]]="","",(H48+I48)/2/G48),"-")</f>
        <v>0.11607142857142858</v>
      </c>
      <c r="XEO48"/>
      <c r="XEP48"/>
      <c r="XEQ48"/>
      <c r="XER48"/>
      <c r="XES48"/>
      <c r="XET48"/>
      <c r="XEU48"/>
      <c r="XEV48"/>
      <c r="XEW48"/>
      <c r="XEX48"/>
      <c r="XEY48"/>
      <c r="XEZ48"/>
      <c r="XFA48"/>
      <c r="XFB48"/>
      <c r="XFC48"/>
      <c r="XFD48"/>
    </row>
    <row r="49" spans="2:12 16369:16384" s="10" customFormat="1" ht="24.95" customHeight="1" x14ac:dyDescent="0.2">
      <c r="B49" s="34"/>
      <c r="C49" s="9"/>
      <c r="E49" s="11">
        <v>2022</v>
      </c>
      <c r="F49" s="12" t="s">
        <v>200</v>
      </c>
      <c r="G49" s="12">
        <f>G48+Tabela2[[#This Row],[nº de admissões]]-Tabela2[[#This Row],[nº de demissões]]</f>
        <v>53</v>
      </c>
      <c r="H49" s="12">
        <v>1</v>
      </c>
      <c r="I49" s="12">
        <v>4</v>
      </c>
      <c r="J49" s="12"/>
      <c r="K49" s="12"/>
      <c r="L49" s="13">
        <f>IFERROR(IF(Tabela2[[#This Row],[Ano]]="","",(H49+I49)/2/G49),"-")</f>
        <v>4.716981132075472E-2</v>
      </c>
      <c r="XEO49"/>
      <c r="XEP49"/>
      <c r="XEQ49"/>
      <c r="XER49"/>
      <c r="XES49"/>
      <c r="XET49"/>
      <c r="XEU49"/>
      <c r="XEV49"/>
      <c r="XEW49"/>
      <c r="XEX49"/>
      <c r="XEY49"/>
      <c r="XEZ49"/>
      <c r="XFA49"/>
      <c r="XFB49"/>
      <c r="XFC49"/>
      <c r="XFD49"/>
    </row>
    <row r="50" spans="2:12 16369:16384" s="10" customFormat="1" ht="24.95" customHeight="1" x14ac:dyDescent="0.2">
      <c r="B50" s="34"/>
      <c r="C50" s="9"/>
      <c r="E50" s="11">
        <v>2022</v>
      </c>
      <c r="F50" s="12" t="s">
        <v>201</v>
      </c>
      <c r="G50" s="12">
        <f>G49+Tabela2[[#This Row],[nº de admissões]]-Tabela2[[#This Row],[nº de demissões]]</f>
        <v>51</v>
      </c>
      <c r="H50" s="12">
        <v>5</v>
      </c>
      <c r="I50" s="12">
        <v>7</v>
      </c>
      <c r="J50" s="12"/>
      <c r="K50" s="12"/>
      <c r="L50" s="13">
        <f>IFERROR(IF(Tabela2[[#This Row],[Ano]]="","",(H50+I50)/2/G50),"-")</f>
        <v>0.11764705882352941</v>
      </c>
      <c r="XEO50"/>
      <c r="XEP50"/>
      <c r="XEQ50"/>
      <c r="XER50"/>
      <c r="XES50"/>
      <c r="XET50"/>
      <c r="XEU50"/>
      <c r="XEV50"/>
      <c r="XEW50"/>
      <c r="XEX50"/>
      <c r="XEY50"/>
      <c r="XEZ50"/>
      <c r="XFA50"/>
      <c r="XFB50"/>
      <c r="XFC50"/>
      <c r="XFD50"/>
    </row>
    <row r="51" spans="2:12 16369:16384" s="10" customFormat="1" ht="24.95" customHeight="1" x14ac:dyDescent="0.2">
      <c r="B51" s="34"/>
      <c r="C51" s="9"/>
      <c r="E51" s="11">
        <v>2022</v>
      </c>
      <c r="F51" s="12" t="s">
        <v>202</v>
      </c>
      <c r="G51" s="12">
        <f>G50+Tabela2[[#This Row],[nº de admissões]]-Tabela2[[#This Row],[nº de demissões]]</f>
        <v>49</v>
      </c>
      <c r="H51" s="12">
        <v>0</v>
      </c>
      <c r="I51" s="12">
        <v>2</v>
      </c>
      <c r="J51" s="12"/>
      <c r="K51" s="12"/>
      <c r="L51" s="13">
        <f>IFERROR(IF(Tabela2[[#This Row],[Ano]]="","",(H51+I51)/2/G51),"-")</f>
        <v>2.0408163265306121E-2</v>
      </c>
      <c r="XEO51"/>
      <c r="XEP51"/>
      <c r="XEQ51"/>
      <c r="XER51"/>
      <c r="XES51"/>
      <c r="XET51"/>
      <c r="XEU51"/>
      <c r="XEV51"/>
      <c r="XEW51"/>
      <c r="XEX51"/>
      <c r="XEY51"/>
      <c r="XEZ51"/>
      <c r="XFA51"/>
      <c r="XFB51"/>
      <c r="XFC51"/>
      <c r="XFD51"/>
    </row>
    <row r="52" spans="2:12 16369:16384" s="10" customFormat="1" ht="24.95" customHeight="1" x14ac:dyDescent="0.2">
      <c r="B52" s="34"/>
      <c r="C52" s="9"/>
      <c r="E52" s="11">
        <v>2022</v>
      </c>
      <c r="F52" s="12" t="s">
        <v>203</v>
      </c>
      <c r="G52" s="12">
        <f>G51+Tabela2[[#This Row],[nº de admissões]]-Tabela2[[#This Row],[nº de demissões]]</f>
        <v>65</v>
      </c>
      <c r="H52" s="12">
        <v>17</v>
      </c>
      <c r="I52" s="12">
        <v>1</v>
      </c>
      <c r="J52" s="12"/>
      <c r="K52" s="12"/>
      <c r="L52" s="13">
        <f>IFERROR(IF(Tabela2[[#This Row],[Ano]]="","",(H52+I52)/2/G52),"-")</f>
        <v>0.13846153846153847</v>
      </c>
      <c r="XEO52"/>
      <c r="XEP52"/>
      <c r="XEQ52"/>
      <c r="XER52"/>
      <c r="XES52"/>
      <c r="XET52"/>
      <c r="XEU52"/>
      <c r="XEV52"/>
      <c r="XEW52"/>
      <c r="XEX52"/>
      <c r="XEY52"/>
      <c r="XEZ52"/>
      <c r="XFA52"/>
      <c r="XFB52"/>
      <c r="XFC52"/>
      <c r="XFD52"/>
    </row>
    <row r="53" spans="2:12 16369:16384" s="10" customFormat="1" ht="24.95" customHeight="1" x14ac:dyDescent="0.2">
      <c r="B53" s="34"/>
      <c r="C53" s="9"/>
      <c r="E53" s="11">
        <v>2022</v>
      </c>
      <c r="F53" s="12" t="s">
        <v>204</v>
      </c>
      <c r="G53" s="12">
        <f>G52+Tabela2[[#This Row],[nº de admissões]]-Tabela2[[#This Row],[nº de demissões]]</f>
        <v>56</v>
      </c>
      <c r="H53" s="12">
        <v>0</v>
      </c>
      <c r="I53" s="12">
        <v>9</v>
      </c>
      <c r="J53" s="12"/>
      <c r="K53" s="12"/>
      <c r="L53" s="13">
        <f>IFERROR(IF(Tabela2[[#This Row],[Ano]]="","",(H53+I53)/2/G53),"-")</f>
        <v>8.0357142857142863E-2</v>
      </c>
      <c r="XEO53"/>
      <c r="XEP53"/>
      <c r="XEQ53"/>
      <c r="XER53"/>
      <c r="XES53"/>
      <c r="XET53"/>
      <c r="XEU53"/>
      <c r="XEV53"/>
      <c r="XEW53"/>
      <c r="XEX53"/>
      <c r="XEY53"/>
      <c r="XEZ53"/>
      <c r="XFA53"/>
      <c r="XFB53"/>
      <c r="XFC53"/>
      <c r="XFD53"/>
    </row>
    <row r="54" spans="2:12 16369:16384" s="10" customFormat="1" ht="24.95" customHeight="1" x14ac:dyDescent="0.2">
      <c r="B54" s="34"/>
      <c r="C54" s="9"/>
      <c r="E54" s="11">
        <v>2023</v>
      </c>
      <c r="F54" s="12" t="s">
        <v>193</v>
      </c>
      <c r="G54" s="12">
        <f>G53+Tabela2[[#This Row],[nº de admissões]]-Tabela2[[#This Row],[nº de demissões]]</f>
        <v>67</v>
      </c>
      <c r="H54" s="12">
        <v>11</v>
      </c>
      <c r="I54" s="12">
        <v>0</v>
      </c>
      <c r="J54" s="12"/>
      <c r="K54" s="12"/>
      <c r="L54" s="13">
        <f>IFERROR(IF(Tabela2[[#This Row],[Ano]]="","",(H54+I54)/2/G54),"-")</f>
        <v>8.2089552238805971E-2</v>
      </c>
      <c r="XEO54"/>
      <c r="XEP54"/>
      <c r="XEQ54"/>
      <c r="XER54"/>
      <c r="XES54"/>
      <c r="XET54"/>
      <c r="XEU54"/>
      <c r="XEV54"/>
      <c r="XEW54"/>
      <c r="XEX54"/>
      <c r="XEY54"/>
      <c r="XEZ54"/>
      <c r="XFA54"/>
      <c r="XFB54"/>
      <c r="XFC54"/>
      <c r="XFD54"/>
    </row>
    <row r="55" spans="2:12 16369:16384" s="10" customFormat="1" ht="24.95" customHeight="1" x14ac:dyDescent="0.2">
      <c r="B55" s="34"/>
      <c r="C55" s="9"/>
      <c r="E55" s="11">
        <v>2023</v>
      </c>
      <c r="F55" s="12" t="s">
        <v>194</v>
      </c>
      <c r="G55" s="12">
        <f>G54+Tabela2[[#This Row],[nº de admissões]]-Tabela2[[#This Row],[nº de demissões]]</f>
        <v>68</v>
      </c>
      <c r="H55" s="12">
        <v>7</v>
      </c>
      <c r="I55" s="12">
        <v>6</v>
      </c>
      <c r="J55" s="12"/>
      <c r="K55" s="12"/>
      <c r="L55" s="13">
        <f>IFERROR(IF(Tabela2[[#This Row],[Ano]]="","",(H55+I55)/2/G55),"-")</f>
        <v>9.5588235294117641E-2</v>
      </c>
      <c r="XEO55"/>
      <c r="XEP55"/>
      <c r="XEQ55"/>
      <c r="XER55"/>
      <c r="XES55"/>
      <c r="XET55"/>
      <c r="XEU55"/>
      <c r="XEV55"/>
      <c r="XEW55"/>
      <c r="XEX55"/>
      <c r="XEY55"/>
      <c r="XEZ55"/>
      <c r="XFA55"/>
      <c r="XFB55"/>
      <c r="XFC55"/>
      <c r="XFD55"/>
    </row>
    <row r="56" spans="2:12 16369:16384" s="10" customFormat="1" ht="24.95" customHeight="1" x14ac:dyDescent="0.2">
      <c r="B56" s="34"/>
      <c r="C56" s="9"/>
      <c r="E56" s="11">
        <v>2023</v>
      </c>
      <c r="F56" s="12" t="s">
        <v>195</v>
      </c>
      <c r="G56" s="12">
        <f>G55+Tabela2[[#This Row],[nº de admissões]]-Tabela2[[#This Row],[nº de demissões]]</f>
        <v>74</v>
      </c>
      <c r="H56" s="12">
        <v>10</v>
      </c>
      <c r="I56" s="12">
        <v>4</v>
      </c>
      <c r="J56" s="12"/>
      <c r="K56" s="12"/>
      <c r="L56" s="13">
        <f>IFERROR(IF(Tabela2[[#This Row],[Ano]]="","",(H56+I56)/2/G56),"-")</f>
        <v>9.45945945945946E-2</v>
      </c>
      <c r="XEO56"/>
      <c r="XEP56"/>
      <c r="XEQ56"/>
      <c r="XER56"/>
      <c r="XES56"/>
      <c r="XET56"/>
      <c r="XEU56"/>
      <c r="XEV56"/>
      <c r="XEW56"/>
      <c r="XEX56"/>
      <c r="XEY56"/>
      <c r="XEZ56"/>
      <c r="XFA56"/>
      <c r="XFB56"/>
      <c r="XFC56"/>
      <c r="XFD56"/>
    </row>
    <row r="57" spans="2:12 16369:16384" s="10" customFormat="1" ht="24.95" customHeight="1" x14ac:dyDescent="0.2">
      <c r="B57" s="34"/>
      <c r="C57" s="9"/>
      <c r="E57" s="11">
        <v>2023</v>
      </c>
      <c r="F57" s="12" t="s">
        <v>196</v>
      </c>
      <c r="G57" s="12">
        <f>G56+Tabela2[[#This Row],[nº de admissões]]-Tabela2[[#This Row],[nº de demissões]]</f>
        <v>69</v>
      </c>
      <c r="H57" s="12">
        <v>1</v>
      </c>
      <c r="I57" s="12">
        <v>6</v>
      </c>
      <c r="J57" s="12"/>
      <c r="K57" s="12"/>
      <c r="L57" s="13">
        <f>IFERROR(IF(Tabela2[[#This Row],[Ano]]="","",(H57+I57)/2/G57),"-")</f>
        <v>5.0724637681159424E-2</v>
      </c>
      <c r="XEO57"/>
      <c r="XEP57"/>
      <c r="XEQ57"/>
      <c r="XER57"/>
      <c r="XES57"/>
      <c r="XET57"/>
      <c r="XEU57"/>
      <c r="XEV57"/>
      <c r="XEW57"/>
      <c r="XEX57"/>
      <c r="XEY57"/>
      <c r="XEZ57"/>
      <c r="XFA57"/>
      <c r="XFB57"/>
      <c r="XFC57"/>
      <c r="XFD57"/>
    </row>
    <row r="58" spans="2:12 16369:16384" s="10" customFormat="1" ht="24.95" customHeight="1" x14ac:dyDescent="0.2">
      <c r="B58" s="34"/>
      <c r="C58" s="9"/>
      <c r="E58" s="11">
        <v>2023</v>
      </c>
      <c r="F58" s="12" t="s">
        <v>197</v>
      </c>
      <c r="G58" s="12">
        <f>G57+Tabela2[[#This Row],[nº de admissões]]-Tabela2[[#This Row],[nº de demissões]]</f>
        <v>64</v>
      </c>
      <c r="H58" s="12">
        <v>15</v>
      </c>
      <c r="I58" s="12">
        <v>20</v>
      </c>
      <c r="J58" s="12"/>
      <c r="K58" s="12"/>
      <c r="L58" s="13">
        <f>IFERROR(IF(Tabela2[[#This Row],[Ano]]="","",(H58+I58)/2/G58),"-")</f>
        <v>0.2734375</v>
      </c>
      <c r="XEO58"/>
      <c r="XEP58"/>
      <c r="XEQ58"/>
      <c r="XER58"/>
      <c r="XES58"/>
      <c r="XET58"/>
      <c r="XEU58"/>
      <c r="XEV58"/>
      <c r="XEW58"/>
      <c r="XEX58"/>
      <c r="XEY58"/>
      <c r="XEZ58"/>
      <c r="XFA58"/>
      <c r="XFB58"/>
      <c r="XFC58"/>
      <c r="XFD58"/>
    </row>
    <row r="59" spans="2:12 16369:16384" s="10" customFormat="1" ht="24.95" customHeight="1" x14ac:dyDescent="0.2">
      <c r="B59" s="34"/>
      <c r="C59" s="9"/>
      <c r="E59" s="11">
        <v>2023</v>
      </c>
      <c r="F59" s="12" t="s">
        <v>198</v>
      </c>
      <c r="G59" s="12">
        <f>G58+Tabela2[[#This Row],[nº de admissões]]-Tabela2[[#This Row],[nº de demissões]]</f>
        <v>66</v>
      </c>
      <c r="H59" s="12">
        <v>6</v>
      </c>
      <c r="I59" s="12">
        <v>4</v>
      </c>
      <c r="J59" s="12"/>
      <c r="K59" s="12"/>
      <c r="L59" s="13">
        <f>IFERROR(IF(Tabela2[[#This Row],[Ano]]="","",(H59+I59)/2/G59),"-")</f>
        <v>7.575757575757576E-2</v>
      </c>
      <c r="XEO59"/>
      <c r="XEP59"/>
      <c r="XEQ59"/>
      <c r="XER59"/>
      <c r="XES59"/>
      <c r="XET59"/>
      <c r="XEU59"/>
      <c r="XEV59"/>
      <c r="XEW59"/>
      <c r="XEX59"/>
      <c r="XEY59"/>
      <c r="XEZ59"/>
      <c r="XFA59"/>
      <c r="XFB59"/>
      <c r="XFC59"/>
      <c r="XFD59"/>
    </row>
    <row r="60" spans="2:12 16369:16384" s="10" customFormat="1" ht="24.95" customHeight="1" x14ac:dyDescent="0.2">
      <c r="B60" s="34"/>
      <c r="C60" s="9"/>
      <c r="E60" s="11">
        <v>2023</v>
      </c>
      <c r="F60" s="12" t="s">
        <v>199</v>
      </c>
      <c r="G60" s="12">
        <f>G59+Tabela2[[#This Row],[nº de admissões]]-Tabela2[[#This Row],[nº de demissões]]</f>
        <v>70</v>
      </c>
      <c r="H60" s="12">
        <v>5</v>
      </c>
      <c r="I60" s="12">
        <v>1</v>
      </c>
      <c r="J60" s="12"/>
      <c r="K60" s="12"/>
      <c r="L60" s="13">
        <f>IFERROR(IF(Tabela2[[#This Row],[Ano]]="","",(H60+I60)/2/G60),"-")</f>
        <v>4.2857142857142858E-2</v>
      </c>
      <c r="XEO60"/>
      <c r="XEP60"/>
      <c r="XEQ60"/>
      <c r="XER60"/>
      <c r="XES60"/>
      <c r="XET60"/>
      <c r="XEU60"/>
      <c r="XEV60"/>
      <c r="XEW60"/>
      <c r="XEX60"/>
      <c r="XEY60"/>
      <c r="XEZ60"/>
      <c r="XFA60"/>
      <c r="XFB60"/>
      <c r="XFC60"/>
      <c r="XFD60"/>
    </row>
    <row r="61" spans="2:12 16369:16384" s="10" customFormat="1" ht="24.95" customHeight="1" x14ac:dyDescent="0.2">
      <c r="B61" s="34"/>
      <c r="C61" s="9"/>
      <c r="E61" s="11">
        <v>2023</v>
      </c>
      <c r="F61" s="12" t="s">
        <v>200</v>
      </c>
      <c r="G61" s="12">
        <f>G60+Tabela2[[#This Row],[nº de admissões]]-Tabela2[[#This Row],[nº de demissões]]</f>
        <v>74</v>
      </c>
      <c r="H61" s="12">
        <v>8</v>
      </c>
      <c r="I61" s="12">
        <v>4</v>
      </c>
      <c r="J61" s="12"/>
      <c r="K61" s="12"/>
      <c r="L61" s="13">
        <f>IFERROR(IF(Tabela2[[#This Row],[Ano]]="","",(H61+I61)/2/G61),"-")</f>
        <v>8.1081081081081086E-2</v>
      </c>
      <c r="XEO61"/>
      <c r="XEP61"/>
      <c r="XEQ61"/>
      <c r="XER61"/>
      <c r="XES61"/>
      <c r="XET61"/>
      <c r="XEU61"/>
      <c r="XEV61"/>
      <c r="XEW61"/>
      <c r="XEX61"/>
      <c r="XEY61"/>
      <c r="XEZ61"/>
      <c r="XFA61"/>
      <c r="XFB61"/>
      <c r="XFC61"/>
      <c r="XFD61"/>
    </row>
    <row r="62" spans="2:12 16369:16384" s="10" customFormat="1" ht="24.95" customHeight="1" x14ac:dyDescent="0.2">
      <c r="B62" s="34"/>
      <c r="C62" s="9"/>
      <c r="E62" s="11">
        <v>2023</v>
      </c>
      <c r="F62" s="12" t="s">
        <v>201</v>
      </c>
      <c r="G62" s="12">
        <f>G61+Tabela2[[#This Row],[nº de admissões]]-Tabela2[[#This Row],[nº de demissões]]</f>
        <v>73</v>
      </c>
      <c r="H62" s="12">
        <v>8</v>
      </c>
      <c r="I62" s="12">
        <v>9</v>
      </c>
      <c r="J62" s="12"/>
      <c r="K62" s="12"/>
      <c r="L62" s="13">
        <f>IFERROR(IF(Tabela2[[#This Row],[Ano]]="","",(H62+I62)/2/G62),"-")</f>
        <v>0.11643835616438356</v>
      </c>
      <c r="XEO62"/>
      <c r="XEP62"/>
      <c r="XEQ62"/>
      <c r="XER62"/>
      <c r="XES62"/>
      <c r="XET62"/>
      <c r="XEU62"/>
      <c r="XEV62"/>
      <c r="XEW62"/>
      <c r="XEX62"/>
      <c r="XEY62"/>
      <c r="XEZ62"/>
      <c r="XFA62"/>
      <c r="XFB62"/>
      <c r="XFC62"/>
      <c r="XFD62"/>
    </row>
    <row r="63" spans="2:12 16369:16384" s="10" customFormat="1" ht="24.95" customHeight="1" x14ac:dyDescent="0.2">
      <c r="B63" s="34"/>
      <c r="C63" s="9"/>
      <c r="E63" s="11">
        <v>2023</v>
      </c>
      <c r="F63" s="12" t="s">
        <v>202</v>
      </c>
      <c r="G63" s="12">
        <f>G62+Tabela2[[#This Row],[nº de admissões]]-Tabela2[[#This Row],[nº de demissões]]</f>
        <v>87</v>
      </c>
      <c r="H63" s="12">
        <v>20</v>
      </c>
      <c r="I63" s="12">
        <v>6</v>
      </c>
      <c r="J63" s="12"/>
      <c r="K63" s="12"/>
      <c r="L63" s="13">
        <f>IFERROR(IF(Tabela2[[#This Row],[Ano]]="","",(H63+I63)/2/G63),"-")</f>
        <v>0.14942528735632185</v>
      </c>
      <c r="XEO63"/>
      <c r="XEP63"/>
      <c r="XEQ63"/>
      <c r="XER63"/>
      <c r="XES63"/>
      <c r="XET63"/>
      <c r="XEU63"/>
      <c r="XEV63"/>
      <c r="XEW63"/>
      <c r="XEX63"/>
      <c r="XEY63"/>
      <c r="XEZ63"/>
      <c r="XFA63"/>
      <c r="XFB63"/>
      <c r="XFC63"/>
      <c r="XFD63"/>
    </row>
    <row r="64" spans="2:12 16369:16384" s="10" customFormat="1" ht="24.95" customHeight="1" x14ac:dyDescent="0.2">
      <c r="B64" s="34"/>
      <c r="C64" s="9"/>
      <c r="E64" s="11">
        <v>2023</v>
      </c>
      <c r="F64" s="12" t="s">
        <v>203</v>
      </c>
      <c r="G64" s="12">
        <f>G63+Tabela2[[#This Row],[nº de admissões]]-Tabela2[[#This Row],[nº de demissões]]</f>
        <v>79</v>
      </c>
      <c r="H64" s="12">
        <v>1</v>
      </c>
      <c r="I64" s="12">
        <v>9</v>
      </c>
      <c r="J64" s="12"/>
      <c r="K64" s="12"/>
      <c r="L64" s="13">
        <f>IFERROR(IF(Tabela2[[#This Row],[Ano]]="","",(H64+I64)/2/G64),"-")</f>
        <v>6.3291139240506333E-2</v>
      </c>
      <c r="XEO64"/>
      <c r="XEP64"/>
      <c r="XEQ64"/>
      <c r="XER64"/>
      <c r="XES64"/>
      <c r="XET64"/>
      <c r="XEU64"/>
      <c r="XEV64"/>
      <c r="XEW64"/>
      <c r="XEX64"/>
      <c r="XEY64"/>
      <c r="XEZ64"/>
      <c r="XFA64"/>
      <c r="XFB64"/>
      <c r="XFC64"/>
      <c r="XFD64"/>
    </row>
    <row r="65" spans="2:12 16369:16384" s="10" customFormat="1" ht="24.95" customHeight="1" x14ac:dyDescent="0.2">
      <c r="B65" s="34"/>
      <c r="C65" s="9"/>
      <c r="E65" s="11">
        <v>2023</v>
      </c>
      <c r="F65" s="12" t="s">
        <v>204</v>
      </c>
      <c r="G65" s="12">
        <f>G64+Tabela2[[#This Row],[nº de admissões]]-Tabela2[[#This Row],[nº de demissões]]</f>
        <v>75</v>
      </c>
      <c r="H65" s="12">
        <v>0</v>
      </c>
      <c r="I65" s="12">
        <v>4</v>
      </c>
      <c r="J65" s="12"/>
      <c r="K65" s="12"/>
      <c r="L65" s="13">
        <f>IFERROR(IF(Tabela2[[#This Row],[Ano]]="","",(H65+I65)/2/G65),"-")</f>
        <v>2.6666666666666668E-2</v>
      </c>
      <c r="XEO65"/>
      <c r="XEP65"/>
      <c r="XEQ65"/>
      <c r="XER65"/>
      <c r="XES65"/>
      <c r="XET65"/>
      <c r="XEU65"/>
      <c r="XEV65"/>
      <c r="XEW65"/>
      <c r="XEX65"/>
      <c r="XEY65"/>
      <c r="XEZ65"/>
      <c r="XFA65"/>
      <c r="XFB65"/>
      <c r="XFC65"/>
      <c r="XFD65"/>
    </row>
    <row r="66" spans="2:12 16369:16384" s="10" customFormat="1" ht="24.95" customHeight="1" x14ac:dyDescent="0.2">
      <c r="B66" s="34"/>
      <c r="C66" s="9"/>
      <c r="E66" s="11">
        <v>2024</v>
      </c>
      <c r="F66" s="12" t="s">
        <v>193</v>
      </c>
      <c r="G66" s="12">
        <f>G65+Tabela2[[#This Row],[nº de admissões]]-Tabela2[[#This Row],[nº de demissões]]</f>
        <v>73</v>
      </c>
      <c r="H66" s="12">
        <v>3</v>
      </c>
      <c r="I66" s="12">
        <v>5</v>
      </c>
      <c r="J66" s="12"/>
      <c r="K66" s="12"/>
      <c r="L66" s="13">
        <f>IFERROR(IF(Tabela2[[#This Row],[Ano]]="","",(H66+I66)/2/G66),"-")</f>
        <v>5.4794520547945202E-2</v>
      </c>
      <c r="XEO66"/>
      <c r="XEP66"/>
      <c r="XEQ66"/>
      <c r="XER66"/>
      <c r="XES66"/>
      <c r="XET66"/>
      <c r="XEU66"/>
      <c r="XEV66"/>
      <c r="XEW66"/>
      <c r="XEX66"/>
      <c r="XEY66"/>
      <c r="XEZ66"/>
      <c r="XFA66"/>
      <c r="XFB66"/>
      <c r="XFC66"/>
      <c r="XFD66"/>
    </row>
    <row r="67" spans="2:12 16369:16384" s="10" customFormat="1" ht="24.95" customHeight="1" x14ac:dyDescent="0.2">
      <c r="B67" s="34"/>
      <c r="C67" s="9"/>
      <c r="E67" s="11">
        <v>2024</v>
      </c>
      <c r="F67" s="12" t="s">
        <v>194</v>
      </c>
      <c r="G67" s="12"/>
      <c r="H67" s="12"/>
      <c r="I67" s="12"/>
      <c r="J67" s="12"/>
      <c r="K67" s="12"/>
      <c r="L67" s="13" t="str">
        <f>IFERROR(IF(Tabela2[[#This Row],[Ano]]="","",(H67+I67)/2/G67),"-")</f>
        <v>-</v>
      </c>
      <c r="XEO67"/>
      <c r="XEP67"/>
      <c r="XEQ67"/>
      <c r="XER67"/>
      <c r="XES67"/>
      <c r="XET67"/>
      <c r="XEU67"/>
      <c r="XEV67"/>
      <c r="XEW67"/>
      <c r="XEX67"/>
      <c r="XEY67"/>
      <c r="XEZ67"/>
      <c r="XFA67"/>
      <c r="XFB67"/>
      <c r="XFC67"/>
      <c r="XFD67"/>
    </row>
    <row r="68" spans="2:12 16369:16384" s="10" customFormat="1" ht="24.95" customHeight="1" x14ac:dyDescent="0.2">
      <c r="B68" s="34"/>
      <c r="C68" s="9"/>
      <c r="E68" s="11">
        <v>2024</v>
      </c>
      <c r="F68" s="12" t="s">
        <v>195</v>
      </c>
      <c r="G68" s="12"/>
      <c r="H68" s="12"/>
      <c r="I68" s="12"/>
      <c r="J68" s="12"/>
      <c r="K68" s="12"/>
      <c r="L68" s="13" t="str">
        <f>IFERROR(IF(Tabela2[[#This Row],[Ano]]="","",(H68+I68)/2/G68),"-")</f>
        <v>-</v>
      </c>
      <c r="XEO68"/>
      <c r="XEP68"/>
      <c r="XEQ68"/>
      <c r="XER68"/>
      <c r="XES68"/>
      <c r="XET68"/>
      <c r="XEU68"/>
      <c r="XEV68"/>
      <c r="XEW68"/>
      <c r="XEX68"/>
      <c r="XEY68"/>
      <c r="XEZ68"/>
      <c r="XFA68"/>
      <c r="XFB68"/>
      <c r="XFC68"/>
      <c r="XFD68"/>
    </row>
    <row r="69" spans="2:12 16369:16384" s="10" customFormat="1" ht="24.95" customHeight="1" x14ac:dyDescent="0.2">
      <c r="B69" s="34"/>
      <c r="C69" s="9"/>
      <c r="E69" s="11">
        <v>2024</v>
      </c>
      <c r="F69" s="12" t="s">
        <v>196</v>
      </c>
      <c r="G69" s="12"/>
      <c r="H69" s="12"/>
      <c r="I69" s="12"/>
      <c r="J69" s="12"/>
      <c r="K69" s="12"/>
      <c r="L69" s="13" t="str">
        <f>IFERROR(IF(Tabela2[[#This Row],[Ano]]="","",(H69+I69)/2/G69),"-")</f>
        <v>-</v>
      </c>
      <c r="XEO69"/>
      <c r="XEP69"/>
      <c r="XEQ69"/>
      <c r="XER69"/>
      <c r="XES69"/>
      <c r="XET69"/>
      <c r="XEU69"/>
      <c r="XEV69"/>
      <c r="XEW69"/>
      <c r="XEX69"/>
      <c r="XEY69"/>
      <c r="XEZ69"/>
      <c r="XFA69"/>
      <c r="XFB69"/>
      <c r="XFC69"/>
      <c r="XFD69"/>
    </row>
    <row r="70" spans="2:12 16369:16384" s="10" customFormat="1" ht="24.95" customHeight="1" x14ac:dyDescent="0.2">
      <c r="B70" s="34"/>
      <c r="C70" s="9"/>
      <c r="E70" s="11">
        <v>2024</v>
      </c>
      <c r="F70" s="12" t="s">
        <v>197</v>
      </c>
      <c r="G70" s="12"/>
      <c r="H70" s="12"/>
      <c r="I70" s="12"/>
      <c r="J70" s="12"/>
      <c r="K70" s="12"/>
      <c r="L70" s="13" t="str">
        <f>IFERROR(IF(Tabela2[[#This Row],[Ano]]="","",(H70+I70)/2/G70),"-")</f>
        <v>-</v>
      </c>
      <c r="XEO70"/>
      <c r="XEP70"/>
      <c r="XEQ70"/>
      <c r="XER70"/>
      <c r="XES70"/>
      <c r="XET70"/>
      <c r="XEU70"/>
      <c r="XEV70"/>
      <c r="XEW70"/>
      <c r="XEX70"/>
      <c r="XEY70"/>
      <c r="XEZ70"/>
      <c r="XFA70"/>
      <c r="XFB70"/>
      <c r="XFC70"/>
      <c r="XFD70"/>
    </row>
    <row r="71" spans="2:12 16369:16384" s="10" customFormat="1" ht="24.95" customHeight="1" x14ac:dyDescent="0.2">
      <c r="B71" s="34"/>
      <c r="C71" s="9"/>
      <c r="E71" s="11">
        <v>2024</v>
      </c>
      <c r="F71" s="12" t="s">
        <v>198</v>
      </c>
      <c r="G71" s="12"/>
      <c r="H71" s="12"/>
      <c r="I71" s="12"/>
      <c r="J71" s="12"/>
      <c r="K71" s="12"/>
      <c r="L71" s="13" t="str">
        <f>IFERROR(IF(Tabela2[[#This Row],[Ano]]="","",(H71+I71)/2/G71),"-")</f>
        <v>-</v>
      </c>
      <c r="XEO71"/>
      <c r="XEP71"/>
      <c r="XEQ71"/>
      <c r="XER71"/>
      <c r="XES71"/>
      <c r="XET71"/>
      <c r="XEU71"/>
      <c r="XEV71"/>
      <c r="XEW71"/>
      <c r="XEX71"/>
      <c r="XEY71"/>
      <c r="XEZ71"/>
      <c r="XFA71"/>
      <c r="XFB71"/>
      <c r="XFC71"/>
      <c r="XFD71"/>
    </row>
    <row r="72" spans="2:12 16369:16384" s="10" customFormat="1" ht="24.95" customHeight="1" x14ac:dyDescent="0.2">
      <c r="B72" s="34"/>
      <c r="C72" s="9"/>
      <c r="E72" s="11">
        <v>2024</v>
      </c>
      <c r="F72" s="12" t="s">
        <v>199</v>
      </c>
      <c r="G72" s="12"/>
      <c r="H72" s="12"/>
      <c r="I72" s="12"/>
      <c r="J72" s="12"/>
      <c r="K72" s="12"/>
      <c r="L72" s="13" t="str">
        <f>IFERROR(IF(Tabela2[[#This Row],[Ano]]="","",(H72+I72)/2/G72),"-")</f>
        <v>-</v>
      </c>
      <c r="XEO72"/>
      <c r="XEP72"/>
      <c r="XEQ72"/>
      <c r="XER72"/>
      <c r="XES72"/>
      <c r="XET72"/>
      <c r="XEU72"/>
      <c r="XEV72"/>
      <c r="XEW72"/>
      <c r="XEX72"/>
      <c r="XEY72"/>
      <c r="XEZ72"/>
      <c r="XFA72"/>
      <c r="XFB72"/>
      <c r="XFC72"/>
      <c r="XFD72"/>
    </row>
    <row r="73" spans="2:12 16369:16384" s="10" customFormat="1" ht="24.95" customHeight="1" x14ac:dyDescent="0.2">
      <c r="B73" s="34"/>
      <c r="C73" s="9"/>
      <c r="E73" s="11">
        <v>2024</v>
      </c>
      <c r="F73" s="12" t="s">
        <v>200</v>
      </c>
      <c r="G73" s="12"/>
      <c r="H73" s="12"/>
      <c r="I73" s="12"/>
      <c r="J73" s="12"/>
      <c r="K73" s="12"/>
      <c r="L73" s="13" t="str">
        <f>IFERROR(IF(Tabela2[[#This Row],[Ano]]="","",(H73+I73)/2/G73),"-")</f>
        <v>-</v>
      </c>
      <c r="XEO73"/>
      <c r="XEP73"/>
      <c r="XEQ73"/>
      <c r="XER73"/>
      <c r="XES73"/>
      <c r="XET73"/>
      <c r="XEU73"/>
      <c r="XEV73"/>
      <c r="XEW73"/>
      <c r="XEX73"/>
      <c r="XEY73"/>
      <c r="XEZ73"/>
      <c r="XFA73"/>
      <c r="XFB73"/>
      <c r="XFC73"/>
      <c r="XFD73"/>
    </row>
    <row r="74" spans="2:12 16369:16384" s="10" customFormat="1" ht="24.95" customHeight="1" x14ac:dyDescent="0.2">
      <c r="B74" s="34"/>
      <c r="C74" s="9"/>
      <c r="E74" s="11">
        <v>2024</v>
      </c>
      <c r="F74" s="12" t="s">
        <v>201</v>
      </c>
      <c r="G74" s="12"/>
      <c r="H74" s="12"/>
      <c r="I74" s="12"/>
      <c r="J74" s="12"/>
      <c r="K74" s="12"/>
      <c r="L74" s="13" t="str">
        <f>IFERROR(IF(Tabela2[[#This Row],[Ano]]="","",(H74+I74)/2/G74),"-")</f>
        <v>-</v>
      </c>
      <c r="XEO74"/>
      <c r="XEP74"/>
      <c r="XEQ74"/>
      <c r="XER74"/>
      <c r="XES74"/>
      <c r="XET74"/>
      <c r="XEU74"/>
      <c r="XEV74"/>
      <c r="XEW74"/>
      <c r="XEX74"/>
      <c r="XEY74"/>
      <c r="XEZ74"/>
      <c r="XFA74"/>
      <c r="XFB74"/>
      <c r="XFC74"/>
      <c r="XFD74"/>
    </row>
    <row r="75" spans="2:12 16369:16384" s="10" customFormat="1" ht="24.95" customHeight="1" x14ac:dyDescent="0.2">
      <c r="B75" s="34"/>
      <c r="C75" s="9"/>
      <c r="E75" s="11">
        <v>2024</v>
      </c>
      <c r="F75" s="12" t="s">
        <v>202</v>
      </c>
      <c r="G75" s="12"/>
      <c r="H75" s="12"/>
      <c r="I75" s="12"/>
      <c r="J75" s="12"/>
      <c r="K75" s="12"/>
      <c r="L75" s="13" t="str">
        <f>IFERROR(IF(Tabela2[[#This Row],[Ano]]="","",(H75+I75)/2/G75),"-")</f>
        <v>-</v>
      </c>
      <c r="XEO75"/>
      <c r="XEP75"/>
      <c r="XEQ75"/>
      <c r="XER75"/>
      <c r="XES75"/>
      <c r="XET75"/>
      <c r="XEU75"/>
      <c r="XEV75"/>
      <c r="XEW75"/>
      <c r="XEX75"/>
      <c r="XEY75"/>
      <c r="XEZ75"/>
      <c r="XFA75"/>
      <c r="XFB75"/>
      <c r="XFC75"/>
      <c r="XFD75"/>
    </row>
    <row r="76" spans="2:12 16369:16384" s="10" customFormat="1" ht="24.95" customHeight="1" x14ac:dyDescent="0.2">
      <c r="B76" s="34"/>
      <c r="C76" s="9"/>
      <c r="E76" s="11">
        <v>2024</v>
      </c>
      <c r="F76" s="12" t="s">
        <v>203</v>
      </c>
      <c r="G76" s="12"/>
      <c r="H76" s="12"/>
      <c r="I76" s="12"/>
      <c r="J76" s="12"/>
      <c r="K76" s="12"/>
      <c r="L76" s="13" t="str">
        <f>IFERROR(IF(Tabela2[[#This Row],[Ano]]="","",(H76+I76)/2/G76),"-")</f>
        <v>-</v>
      </c>
      <c r="XEO76"/>
      <c r="XEP76"/>
      <c r="XEQ76"/>
      <c r="XER76"/>
      <c r="XES76"/>
      <c r="XET76"/>
      <c r="XEU76"/>
      <c r="XEV76"/>
      <c r="XEW76"/>
      <c r="XEX76"/>
      <c r="XEY76"/>
      <c r="XEZ76"/>
      <c r="XFA76"/>
      <c r="XFB76"/>
      <c r="XFC76"/>
      <c r="XFD76"/>
    </row>
    <row r="77" spans="2:12 16369:16384" s="10" customFormat="1" ht="24.95" customHeight="1" x14ac:dyDescent="0.2">
      <c r="B77" s="34"/>
      <c r="C77" s="9"/>
      <c r="E77" s="14">
        <v>2024</v>
      </c>
      <c r="F77" s="15" t="s">
        <v>204</v>
      </c>
      <c r="G77" s="15"/>
      <c r="H77" s="15"/>
      <c r="I77" s="15"/>
      <c r="J77" s="15"/>
      <c r="K77" s="15"/>
      <c r="L77" s="16" t="str">
        <f>IFERROR(IF(Tabela2[[#This Row],[Ano]]="","",(H77+I77)/2/G77),"-")</f>
        <v>-</v>
      </c>
      <c r="XEO77"/>
      <c r="XEP77"/>
      <c r="XEQ77"/>
      <c r="XER77"/>
      <c r="XES77"/>
      <c r="XET77"/>
      <c r="XEU77"/>
      <c r="XEV77"/>
      <c r="XEW77"/>
      <c r="XEX77"/>
      <c r="XEY77"/>
      <c r="XEZ77"/>
      <c r="XFA77"/>
      <c r="XFB77"/>
      <c r="XFC77"/>
      <c r="XFD77"/>
    </row>
    <row r="78" spans="2:12 16369:16384" s="10" customFormat="1" ht="24.95" customHeight="1" x14ac:dyDescent="0.2">
      <c r="B78" s="34"/>
      <c r="C78" s="9"/>
      <c r="XEO78"/>
      <c r="XEP78"/>
      <c r="XEQ78"/>
      <c r="XER78"/>
      <c r="XES78"/>
      <c r="XET78"/>
      <c r="XEU78"/>
      <c r="XEV78"/>
      <c r="XEW78"/>
      <c r="XEX78"/>
      <c r="XEY78"/>
      <c r="XEZ78"/>
      <c r="XFA78"/>
      <c r="XFB78"/>
      <c r="XFC78"/>
      <c r="XFD78"/>
    </row>
    <row r="79" spans="2:12 16369:16384" s="10" customFormat="1" ht="24.95" customHeight="1" x14ac:dyDescent="0.2">
      <c r="B79" s="34"/>
      <c r="C79" s="9"/>
      <c r="XEO79"/>
      <c r="XEP79"/>
      <c r="XEQ79"/>
      <c r="XER79"/>
      <c r="XES79"/>
      <c r="XET79"/>
      <c r="XEU79"/>
      <c r="XEV79"/>
      <c r="XEW79"/>
      <c r="XEX79"/>
      <c r="XEY79"/>
      <c r="XEZ79"/>
      <c r="XFA79"/>
      <c r="XFB79"/>
      <c r="XFC79"/>
      <c r="XFD79"/>
    </row>
    <row r="80" spans="2:12 16369:16384" s="10" customFormat="1" ht="24.95" customHeight="1" x14ac:dyDescent="0.2">
      <c r="B80" s="34"/>
      <c r="C80" s="9"/>
      <c r="XEO80"/>
      <c r="XEP80"/>
      <c r="XEQ80"/>
      <c r="XER80"/>
      <c r="XES80"/>
      <c r="XET80"/>
      <c r="XEU80"/>
      <c r="XEV80"/>
      <c r="XEW80"/>
      <c r="XEX80"/>
      <c r="XEY80"/>
      <c r="XEZ80"/>
      <c r="XFA80"/>
      <c r="XFB80"/>
      <c r="XFC80"/>
      <c r="XFD80"/>
    </row>
    <row r="81" spans="2:3 16369:16384" s="10" customFormat="1" ht="24.95" customHeight="1" x14ac:dyDescent="0.2">
      <c r="B81" s="34"/>
      <c r="C81" s="9"/>
      <c r="XEO81"/>
      <c r="XEP81"/>
      <c r="XEQ81"/>
      <c r="XER81"/>
      <c r="XES81"/>
      <c r="XET81"/>
      <c r="XEU81"/>
      <c r="XEV81"/>
      <c r="XEW81"/>
      <c r="XEX81"/>
      <c r="XEY81"/>
      <c r="XEZ81"/>
      <c r="XFA81"/>
      <c r="XFB81"/>
      <c r="XFC81"/>
      <c r="XFD81"/>
    </row>
    <row r="82" spans="2:3 16369:16384" s="10" customFormat="1" ht="24.95" customHeight="1" x14ac:dyDescent="0.2">
      <c r="B82" s="34"/>
      <c r="C82" s="9"/>
      <c r="XEO82"/>
      <c r="XEP82"/>
      <c r="XEQ82"/>
      <c r="XER82"/>
      <c r="XES82"/>
      <c r="XET82"/>
      <c r="XEU82"/>
      <c r="XEV82"/>
      <c r="XEW82"/>
      <c r="XEX82"/>
      <c r="XEY82"/>
      <c r="XEZ82"/>
      <c r="XFA82"/>
      <c r="XFB82"/>
      <c r="XFC82"/>
      <c r="XFD82"/>
    </row>
    <row r="83" spans="2:3 16369:16384" s="10" customFormat="1" ht="24.95" customHeight="1" x14ac:dyDescent="0.2">
      <c r="B83" s="34"/>
      <c r="C83" s="9"/>
      <c r="XEO83"/>
      <c r="XEP83"/>
      <c r="XEQ83"/>
      <c r="XER83"/>
      <c r="XES83"/>
      <c r="XET83"/>
      <c r="XEU83"/>
      <c r="XEV83"/>
      <c r="XEW83"/>
      <c r="XEX83"/>
      <c r="XEY83"/>
      <c r="XEZ83"/>
      <c r="XFA83"/>
      <c r="XFB83"/>
      <c r="XFC83"/>
      <c r="XFD83"/>
    </row>
    <row r="84" spans="2:3 16369:16384" s="10" customFormat="1" ht="24.95" customHeight="1" x14ac:dyDescent="0.2">
      <c r="B84" s="34"/>
      <c r="C84" s="9"/>
      <c r="XEO84"/>
      <c r="XEP84"/>
      <c r="XEQ84"/>
      <c r="XER84"/>
      <c r="XES84"/>
      <c r="XET84"/>
      <c r="XEU84"/>
      <c r="XEV84"/>
      <c r="XEW84"/>
      <c r="XEX84"/>
      <c r="XEY84"/>
      <c r="XEZ84"/>
      <c r="XFA84"/>
      <c r="XFB84"/>
      <c r="XFC84"/>
      <c r="XFD84"/>
    </row>
    <row r="85" spans="2:3 16369:16384" s="10" customFormat="1" ht="24.95" customHeight="1" x14ac:dyDescent="0.2">
      <c r="B85" s="34"/>
      <c r="C85" s="9"/>
      <c r="XEO85"/>
      <c r="XEP85"/>
      <c r="XEQ85"/>
      <c r="XER85"/>
      <c r="XES85"/>
      <c r="XET85"/>
      <c r="XEU85"/>
      <c r="XEV85"/>
      <c r="XEW85"/>
      <c r="XEX85"/>
      <c r="XEY85"/>
      <c r="XEZ85"/>
      <c r="XFA85"/>
      <c r="XFB85"/>
      <c r="XFC85"/>
      <c r="XFD85"/>
    </row>
    <row r="86" spans="2:3 16369:16384" s="10" customFormat="1" ht="24.95" customHeight="1" x14ac:dyDescent="0.2">
      <c r="B86" s="34"/>
      <c r="C86" s="9"/>
      <c r="XEO86"/>
      <c r="XEP86"/>
      <c r="XEQ86"/>
      <c r="XER86"/>
      <c r="XES86"/>
      <c r="XET86"/>
      <c r="XEU86"/>
      <c r="XEV86"/>
      <c r="XEW86"/>
      <c r="XEX86"/>
      <c r="XEY86"/>
      <c r="XEZ86"/>
      <c r="XFA86"/>
      <c r="XFB86"/>
      <c r="XFC86"/>
      <c r="XFD86"/>
    </row>
    <row r="87" spans="2:3 16369:16384" s="10" customFormat="1" ht="24.95" customHeight="1" x14ac:dyDescent="0.2">
      <c r="B87" s="34"/>
      <c r="C87" s="9"/>
      <c r="XEO87"/>
      <c r="XEP87"/>
      <c r="XEQ87"/>
      <c r="XER87"/>
      <c r="XES87"/>
      <c r="XET87"/>
      <c r="XEU87"/>
      <c r="XEV87"/>
      <c r="XEW87"/>
      <c r="XEX87"/>
      <c r="XEY87"/>
      <c r="XEZ87"/>
      <c r="XFA87"/>
      <c r="XFB87"/>
      <c r="XFC87"/>
      <c r="XFD87"/>
    </row>
    <row r="88" spans="2:3 16369:16384" s="10" customFormat="1" ht="24.95" customHeight="1" x14ac:dyDescent="0.2">
      <c r="B88" s="34"/>
      <c r="C88" s="9"/>
      <c r="XEO88"/>
      <c r="XEP88"/>
      <c r="XEQ88"/>
      <c r="XER88"/>
      <c r="XES88"/>
      <c r="XET88"/>
      <c r="XEU88"/>
      <c r="XEV88"/>
      <c r="XEW88"/>
      <c r="XEX88"/>
      <c r="XEY88"/>
      <c r="XEZ88"/>
      <c r="XFA88"/>
      <c r="XFB88"/>
      <c r="XFC88"/>
      <c r="XFD88"/>
    </row>
    <row r="89" spans="2:3 16369:16384" s="10" customFormat="1" ht="24.95" customHeight="1" x14ac:dyDescent="0.2">
      <c r="B89" s="34"/>
      <c r="C89" s="9"/>
      <c r="XEO89"/>
      <c r="XEP89"/>
      <c r="XEQ89"/>
      <c r="XER89"/>
      <c r="XES89"/>
      <c r="XET89"/>
      <c r="XEU89"/>
      <c r="XEV89"/>
      <c r="XEW89"/>
      <c r="XEX89"/>
      <c r="XEY89"/>
      <c r="XEZ89"/>
      <c r="XFA89"/>
      <c r="XFB89"/>
      <c r="XFC89"/>
      <c r="XFD89"/>
    </row>
    <row r="90" spans="2:3 16369:16384" s="10" customFormat="1" ht="24.95" customHeight="1" x14ac:dyDescent="0.2">
      <c r="B90" s="34"/>
      <c r="C90" s="9"/>
      <c r="XEO90"/>
      <c r="XEP90"/>
      <c r="XEQ90"/>
      <c r="XER90"/>
      <c r="XES90"/>
      <c r="XET90"/>
      <c r="XEU90"/>
      <c r="XEV90"/>
      <c r="XEW90"/>
      <c r="XEX90"/>
      <c r="XEY90"/>
      <c r="XEZ90"/>
      <c r="XFA90"/>
      <c r="XFB90"/>
      <c r="XFC90"/>
      <c r="XFD90"/>
    </row>
    <row r="91" spans="2:3 16369:16384" s="10" customFormat="1" ht="24.95" customHeight="1" x14ac:dyDescent="0.2">
      <c r="B91" s="34"/>
      <c r="C91" s="9"/>
      <c r="XEO91"/>
      <c r="XEP91"/>
      <c r="XEQ91"/>
      <c r="XER91"/>
      <c r="XES91"/>
      <c r="XET91"/>
      <c r="XEU91"/>
      <c r="XEV91"/>
      <c r="XEW91"/>
      <c r="XEX91"/>
      <c r="XEY91"/>
      <c r="XEZ91"/>
      <c r="XFA91"/>
      <c r="XFB91"/>
      <c r="XFC91"/>
      <c r="XFD91"/>
    </row>
    <row r="92" spans="2:3 16369:16384" s="10" customFormat="1" ht="24.95" customHeight="1" x14ac:dyDescent="0.2">
      <c r="B92" s="34"/>
      <c r="C92" s="9"/>
      <c r="XEO92"/>
      <c r="XEP92"/>
      <c r="XEQ92"/>
      <c r="XER92"/>
      <c r="XES92"/>
      <c r="XET92"/>
      <c r="XEU92"/>
      <c r="XEV92"/>
      <c r="XEW92"/>
      <c r="XEX92"/>
      <c r="XEY92"/>
      <c r="XEZ92"/>
      <c r="XFA92"/>
      <c r="XFB92"/>
      <c r="XFC92"/>
      <c r="XFD92"/>
    </row>
    <row r="93" spans="2:3 16369:16384" s="10" customFormat="1" ht="24.95" customHeight="1" x14ac:dyDescent="0.2">
      <c r="B93" s="34"/>
      <c r="C93" s="9"/>
      <c r="XEO93"/>
      <c r="XEP93"/>
      <c r="XEQ93"/>
      <c r="XER93"/>
      <c r="XES93"/>
      <c r="XET93"/>
      <c r="XEU93"/>
      <c r="XEV93"/>
      <c r="XEW93"/>
      <c r="XEX93"/>
      <c r="XEY93"/>
      <c r="XEZ93"/>
      <c r="XFA93"/>
      <c r="XFB93"/>
      <c r="XFC93"/>
      <c r="XFD93"/>
    </row>
    <row r="94" spans="2:3 16369:16384" s="10" customFormat="1" ht="24.95" customHeight="1" x14ac:dyDescent="0.2">
      <c r="B94" s="34"/>
      <c r="C94" s="9"/>
      <c r="XEO94"/>
      <c r="XEP94"/>
      <c r="XEQ94"/>
      <c r="XER94"/>
      <c r="XES94"/>
      <c r="XET94"/>
      <c r="XEU94"/>
      <c r="XEV94"/>
      <c r="XEW94"/>
      <c r="XEX94"/>
      <c r="XEY94"/>
      <c r="XEZ94"/>
      <c r="XFA94"/>
      <c r="XFB94"/>
      <c r="XFC94"/>
      <c r="XFD94"/>
    </row>
    <row r="95" spans="2:3 16369:16384" s="10" customFormat="1" ht="24.95" customHeight="1" x14ac:dyDescent="0.2">
      <c r="B95" s="34"/>
      <c r="C95" s="9"/>
      <c r="XEO95"/>
      <c r="XEP95"/>
      <c r="XEQ95"/>
      <c r="XER95"/>
      <c r="XES95"/>
      <c r="XET95"/>
      <c r="XEU95"/>
      <c r="XEV95"/>
      <c r="XEW95"/>
      <c r="XEX95"/>
      <c r="XEY95"/>
      <c r="XEZ95"/>
      <c r="XFA95"/>
      <c r="XFB95"/>
      <c r="XFC95"/>
      <c r="XFD95"/>
    </row>
    <row r="96" spans="2:3 16369:16384" s="10" customFormat="1" ht="24.95" customHeight="1" x14ac:dyDescent="0.2">
      <c r="B96" s="34"/>
      <c r="C96" s="9"/>
      <c r="XEO96"/>
      <c r="XEP96"/>
      <c r="XEQ96"/>
      <c r="XER96"/>
      <c r="XES96"/>
      <c r="XET96"/>
      <c r="XEU96"/>
      <c r="XEV96"/>
      <c r="XEW96"/>
      <c r="XEX96"/>
      <c r="XEY96"/>
      <c r="XEZ96"/>
      <c r="XFA96"/>
      <c r="XFB96"/>
      <c r="XFC96"/>
      <c r="XFD96"/>
    </row>
    <row r="97" spans="2:3 16369:16384" s="10" customFormat="1" ht="24.95" customHeight="1" x14ac:dyDescent="0.2">
      <c r="B97" s="34"/>
      <c r="C97" s="9"/>
      <c r="XEO97"/>
      <c r="XEP97"/>
      <c r="XEQ97"/>
      <c r="XER97"/>
      <c r="XES97"/>
      <c r="XET97"/>
      <c r="XEU97"/>
      <c r="XEV97"/>
      <c r="XEW97"/>
      <c r="XEX97"/>
      <c r="XEY97"/>
      <c r="XEZ97"/>
      <c r="XFA97"/>
      <c r="XFB97"/>
      <c r="XFC97"/>
      <c r="XFD97"/>
    </row>
    <row r="98" spans="2:3 16369:16384" s="10" customFormat="1" ht="24.95" customHeight="1" x14ac:dyDescent="0.2">
      <c r="B98" s="34"/>
      <c r="C98" s="9"/>
      <c r="XEO98"/>
      <c r="XEP98"/>
      <c r="XEQ98"/>
      <c r="XER98"/>
      <c r="XES98"/>
      <c r="XET98"/>
      <c r="XEU98"/>
      <c r="XEV98"/>
      <c r="XEW98"/>
      <c r="XEX98"/>
      <c r="XEY98"/>
      <c r="XEZ98"/>
      <c r="XFA98"/>
      <c r="XFB98"/>
      <c r="XFC98"/>
      <c r="XFD98"/>
    </row>
    <row r="99" spans="2:3 16369:16384" s="10" customFormat="1" ht="24.95" customHeight="1" x14ac:dyDescent="0.2">
      <c r="B99" s="34"/>
      <c r="C99" s="9"/>
      <c r="XEO99"/>
      <c r="XEP99"/>
      <c r="XEQ99"/>
      <c r="XER99"/>
      <c r="XES99"/>
      <c r="XET99"/>
      <c r="XEU99"/>
      <c r="XEV99"/>
      <c r="XEW99"/>
      <c r="XEX99"/>
      <c r="XEY99"/>
      <c r="XEZ99"/>
      <c r="XFA99"/>
      <c r="XFB99"/>
      <c r="XFC99"/>
      <c r="XFD99"/>
    </row>
    <row r="100" spans="2:3 16369:16384" s="10" customFormat="1" ht="24.95" customHeight="1" x14ac:dyDescent="0.2">
      <c r="B100" s="34"/>
      <c r="C100" s="9"/>
      <c r="XEO100"/>
      <c r="XEP100"/>
      <c r="XEQ100"/>
      <c r="XER100"/>
      <c r="XES100"/>
      <c r="XET100"/>
      <c r="XEU100"/>
      <c r="XEV100"/>
      <c r="XEW100"/>
      <c r="XEX100"/>
      <c r="XEY100"/>
      <c r="XEZ100"/>
      <c r="XFA100"/>
      <c r="XFB100"/>
      <c r="XFC100"/>
      <c r="XFD100"/>
    </row>
    <row r="101" spans="2:3 16369:16384" s="10" customFormat="1" ht="24.95" customHeight="1" x14ac:dyDescent="0.2">
      <c r="B101" s="34"/>
      <c r="C101" s="9"/>
      <c r="XEO101"/>
      <c r="XEP101"/>
      <c r="XEQ101"/>
      <c r="XER101"/>
      <c r="XES101"/>
      <c r="XET101"/>
      <c r="XEU101"/>
      <c r="XEV101"/>
      <c r="XEW101"/>
      <c r="XEX101"/>
      <c r="XEY101"/>
      <c r="XEZ101"/>
      <c r="XFA101"/>
      <c r="XFB101"/>
      <c r="XFC101"/>
      <c r="XFD101"/>
    </row>
    <row r="102" spans="2:3 16369:16384" s="10" customFormat="1" ht="24.95" customHeight="1" x14ac:dyDescent="0.2">
      <c r="B102" s="34"/>
      <c r="C102" s="9"/>
      <c r="XEO102"/>
      <c r="XEP102"/>
      <c r="XEQ102"/>
      <c r="XER102"/>
      <c r="XES102"/>
      <c r="XET102"/>
      <c r="XEU102"/>
      <c r="XEV102"/>
      <c r="XEW102"/>
      <c r="XEX102"/>
      <c r="XEY102"/>
      <c r="XEZ102"/>
      <c r="XFA102"/>
      <c r="XFB102"/>
      <c r="XFC102"/>
      <c r="XFD102"/>
    </row>
    <row r="103" spans="2:3 16369:16384" s="10" customFormat="1" ht="24.95" customHeight="1" x14ac:dyDescent="0.2">
      <c r="B103" s="34"/>
      <c r="C103" s="9"/>
      <c r="XEO103"/>
      <c r="XEP103"/>
      <c r="XEQ103"/>
      <c r="XER103"/>
      <c r="XES103"/>
      <c r="XET103"/>
      <c r="XEU103"/>
      <c r="XEV103"/>
      <c r="XEW103"/>
      <c r="XEX103"/>
      <c r="XEY103"/>
      <c r="XEZ103"/>
      <c r="XFA103"/>
      <c r="XFB103"/>
      <c r="XFC103"/>
      <c r="XFD103"/>
    </row>
    <row r="104" spans="2:3 16369:16384" s="10" customFormat="1" ht="24.95" customHeight="1" x14ac:dyDescent="0.2">
      <c r="B104" s="34"/>
      <c r="C104" s="9"/>
      <c r="XEO104"/>
      <c r="XEP104"/>
      <c r="XEQ104"/>
      <c r="XER104"/>
      <c r="XES104"/>
      <c r="XET104"/>
      <c r="XEU104"/>
      <c r="XEV104"/>
      <c r="XEW104"/>
      <c r="XEX104"/>
      <c r="XEY104"/>
      <c r="XEZ104"/>
      <c r="XFA104"/>
      <c r="XFB104"/>
      <c r="XFC104"/>
      <c r="XFD104"/>
    </row>
    <row r="105" spans="2:3 16369:16384" s="10" customFormat="1" ht="24.95" customHeight="1" x14ac:dyDescent="0.2">
      <c r="B105" s="34"/>
      <c r="C105" s="9"/>
      <c r="XEO105"/>
      <c r="XEP105"/>
      <c r="XEQ105"/>
      <c r="XER105"/>
      <c r="XES105"/>
      <c r="XET105"/>
      <c r="XEU105"/>
      <c r="XEV105"/>
      <c r="XEW105"/>
      <c r="XEX105"/>
      <c r="XEY105"/>
      <c r="XEZ105"/>
      <c r="XFA105"/>
      <c r="XFB105"/>
      <c r="XFC105"/>
      <c r="XFD105"/>
    </row>
    <row r="106" spans="2:3 16369:16384" s="10" customFormat="1" ht="24.95" customHeight="1" x14ac:dyDescent="0.2">
      <c r="B106" s="34"/>
      <c r="C106" s="9"/>
      <c r="XEO106"/>
      <c r="XEP106"/>
      <c r="XEQ106"/>
      <c r="XER106"/>
      <c r="XES106"/>
      <c r="XET106"/>
      <c r="XEU106"/>
      <c r="XEV106"/>
      <c r="XEW106"/>
      <c r="XEX106"/>
      <c r="XEY106"/>
      <c r="XEZ106"/>
      <c r="XFA106"/>
      <c r="XFB106"/>
      <c r="XFC106"/>
      <c r="XFD106"/>
    </row>
    <row r="107" spans="2:3 16369:16384" s="10" customFormat="1" ht="24.95" customHeight="1" x14ac:dyDescent="0.2">
      <c r="B107" s="34"/>
      <c r="C107" s="9"/>
      <c r="XEO107"/>
      <c r="XEP107"/>
      <c r="XEQ107"/>
      <c r="XER107"/>
      <c r="XES107"/>
      <c r="XET107"/>
      <c r="XEU107"/>
      <c r="XEV107"/>
      <c r="XEW107"/>
      <c r="XEX107"/>
      <c r="XEY107"/>
      <c r="XEZ107"/>
      <c r="XFA107"/>
      <c r="XFB107"/>
      <c r="XFC107"/>
      <c r="XFD107"/>
    </row>
    <row r="108" spans="2:3 16369:16384" s="10" customFormat="1" ht="24.95" customHeight="1" x14ac:dyDescent="0.2">
      <c r="B108" s="34"/>
      <c r="C108" s="9"/>
      <c r="XEO108"/>
      <c r="XEP108"/>
      <c r="XEQ108"/>
      <c r="XER108"/>
      <c r="XES108"/>
      <c r="XET108"/>
      <c r="XEU108"/>
      <c r="XEV108"/>
      <c r="XEW108"/>
      <c r="XEX108"/>
      <c r="XEY108"/>
      <c r="XEZ108"/>
      <c r="XFA108"/>
      <c r="XFB108"/>
      <c r="XFC108"/>
      <c r="XFD108"/>
    </row>
    <row r="109" spans="2:3 16369:16384" s="10" customFormat="1" ht="24.95" customHeight="1" x14ac:dyDescent="0.2">
      <c r="B109" s="34"/>
      <c r="C109" s="9"/>
      <c r="XEO109"/>
      <c r="XEP109"/>
      <c r="XEQ109"/>
      <c r="XER109"/>
      <c r="XES109"/>
      <c r="XET109"/>
      <c r="XEU109"/>
      <c r="XEV109"/>
      <c r="XEW109"/>
      <c r="XEX109"/>
      <c r="XEY109"/>
      <c r="XEZ109"/>
      <c r="XFA109"/>
      <c r="XFB109"/>
      <c r="XFC109"/>
      <c r="XFD109"/>
    </row>
    <row r="110" spans="2:3 16369:16384" s="10" customFormat="1" ht="24.95" customHeight="1" x14ac:dyDescent="0.2">
      <c r="B110" s="34"/>
      <c r="C110" s="9"/>
      <c r="XEO110"/>
      <c r="XEP110"/>
      <c r="XEQ110"/>
      <c r="XER110"/>
      <c r="XES110"/>
      <c r="XET110"/>
      <c r="XEU110"/>
      <c r="XEV110"/>
      <c r="XEW110"/>
      <c r="XEX110"/>
      <c r="XEY110"/>
      <c r="XEZ110"/>
      <c r="XFA110"/>
      <c r="XFB110"/>
      <c r="XFC110"/>
      <c r="XFD110"/>
    </row>
    <row r="111" spans="2:3 16369:16384" s="10" customFormat="1" ht="24.95" customHeight="1" x14ac:dyDescent="0.2">
      <c r="B111" s="34"/>
      <c r="C111" s="9"/>
      <c r="XEO111"/>
      <c r="XEP111"/>
      <c r="XEQ111"/>
      <c r="XER111"/>
      <c r="XES111"/>
      <c r="XET111"/>
      <c r="XEU111"/>
      <c r="XEV111"/>
      <c r="XEW111"/>
      <c r="XEX111"/>
      <c r="XEY111"/>
      <c r="XEZ111"/>
      <c r="XFA111"/>
      <c r="XFB111"/>
      <c r="XFC111"/>
      <c r="XFD111"/>
    </row>
    <row r="112" spans="2:3 16369:16384" s="10" customFormat="1" ht="24.95" customHeight="1" x14ac:dyDescent="0.2">
      <c r="B112" s="34"/>
      <c r="C112" s="9"/>
      <c r="XEO112"/>
      <c r="XEP112"/>
      <c r="XEQ112"/>
      <c r="XER112"/>
      <c r="XES112"/>
      <c r="XET112"/>
      <c r="XEU112"/>
      <c r="XEV112"/>
      <c r="XEW112"/>
      <c r="XEX112"/>
      <c r="XEY112"/>
      <c r="XEZ112"/>
      <c r="XFA112"/>
      <c r="XFB112"/>
      <c r="XFC112"/>
      <c r="XFD112"/>
    </row>
    <row r="113" spans="2:3 16369:16384" s="10" customFormat="1" ht="24.95" customHeight="1" x14ac:dyDescent="0.2">
      <c r="B113" s="34"/>
      <c r="C113" s="9"/>
      <c r="XEO113"/>
      <c r="XEP113"/>
      <c r="XEQ113"/>
      <c r="XER113"/>
      <c r="XES113"/>
      <c r="XET113"/>
      <c r="XEU113"/>
      <c r="XEV113"/>
      <c r="XEW113"/>
      <c r="XEX113"/>
      <c r="XEY113"/>
      <c r="XEZ113"/>
      <c r="XFA113"/>
      <c r="XFB113"/>
      <c r="XFC113"/>
      <c r="XFD113"/>
    </row>
    <row r="114" spans="2:3 16369:16384" s="10" customFormat="1" ht="24.95" customHeight="1" x14ac:dyDescent="0.2">
      <c r="B114" s="34"/>
      <c r="C114" s="9"/>
      <c r="XEO114"/>
      <c r="XEP114"/>
      <c r="XEQ114"/>
      <c r="XER114"/>
      <c r="XES114"/>
      <c r="XET114"/>
      <c r="XEU114"/>
      <c r="XEV114"/>
      <c r="XEW114"/>
      <c r="XEX114"/>
      <c r="XEY114"/>
      <c r="XEZ114"/>
      <c r="XFA114"/>
      <c r="XFB114"/>
      <c r="XFC114"/>
      <c r="XFD114"/>
    </row>
    <row r="115" spans="2:3 16369:16384" s="10" customFormat="1" ht="24.95" customHeight="1" x14ac:dyDescent="0.2">
      <c r="B115" s="34"/>
      <c r="C115" s="9"/>
      <c r="XEO115"/>
      <c r="XEP115"/>
      <c r="XEQ115"/>
      <c r="XER115"/>
      <c r="XES115"/>
      <c r="XET115"/>
      <c r="XEU115"/>
      <c r="XEV115"/>
      <c r="XEW115"/>
      <c r="XEX115"/>
      <c r="XEY115"/>
      <c r="XEZ115"/>
      <c r="XFA115"/>
      <c r="XFB115"/>
      <c r="XFC115"/>
      <c r="XFD115"/>
    </row>
    <row r="116" spans="2:3 16369:16384" s="10" customFormat="1" ht="24.95" customHeight="1" x14ac:dyDescent="0.2">
      <c r="B116" s="34"/>
      <c r="C116" s="9"/>
      <c r="XEO116"/>
      <c r="XEP116"/>
      <c r="XEQ116"/>
      <c r="XER116"/>
      <c r="XES116"/>
      <c r="XET116"/>
      <c r="XEU116"/>
      <c r="XEV116"/>
      <c r="XEW116"/>
      <c r="XEX116"/>
      <c r="XEY116"/>
      <c r="XEZ116"/>
      <c r="XFA116"/>
      <c r="XFB116"/>
      <c r="XFC116"/>
      <c r="XFD116"/>
    </row>
    <row r="117" spans="2:3 16369:16384" s="10" customFormat="1" ht="24.95" customHeight="1" x14ac:dyDescent="0.2">
      <c r="B117" s="34"/>
      <c r="C117" s="9"/>
      <c r="XEO117"/>
      <c r="XEP117"/>
      <c r="XEQ117"/>
      <c r="XER117"/>
      <c r="XES117"/>
      <c r="XET117"/>
      <c r="XEU117"/>
      <c r="XEV117"/>
      <c r="XEW117"/>
      <c r="XEX117"/>
      <c r="XEY117"/>
      <c r="XEZ117"/>
      <c r="XFA117"/>
      <c r="XFB117"/>
      <c r="XFC117"/>
      <c r="XFD117"/>
    </row>
    <row r="118" spans="2:3 16369:16384" s="10" customFormat="1" ht="24.95" customHeight="1" x14ac:dyDescent="0.2">
      <c r="B118" s="34"/>
      <c r="C118" s="9"/>
      <c r="XEO118"/>
      <c r="XEP118"/>
      <c r="XEQ118"/>
      <c r="XER118"/>
      <c r="XES118"/>
      <c r="XET118"/>
      <c r="XEU118"/>
      <c r="XEV118"/>
      <c r="XEW118"/>
      <c r="XEX118"/>
      <c r="XEY118"/>
      <c r="XEZ118"/>
      <c r="XFA118"/>
      <c r="XFB118"/>
      <c r="XFC118"/>
      <c r="XFD118"/>
    </row>
    <row r="119" spans="2:3 16369:16384" s="10" customFormat="1" ht="24.95" customHeight="1" x14ac:dyDescent="0.2">
      <c r="B119" s="34"/>
      <c r="C119" s="9"/>
      <c r="XEO119"/>
      <c r="XEP119"/>
      <c r="XEQ119"/>
      <c r="XER119"/>
      <c r="XES119"/>
      <c r="XET119"/>
      <c r="XEU119"/>
      <c r="XEV119"/>
      <c r="XEW119"/>
      <c r="XEX119"/>
      <c r="XEY119"/>
      <c r="XEZ119"/>
      <c r="XFA119"/>
      <c r="XFB119"/>
      <c r="XFC119"/>
      <c r="XFD119"/>
    </row>
    <row r="120" spans="2:3 16369:16384" s="10" customFormat="1" ht="24.95" customHeight="1" x14ac:dyDescent="0.2">
      <c r="B120" s="34"/>
      <c r="C120" s="9"/>
      <c r="XEO120"/>
      <c r="XEP120"/>
      <c r="XEQ120"/>
      <c r="XER120"/>
      <c r="XES120"/>
      <c r="XET120"/>
      <c r="XEU120"/>
      <c r="XEV120"/>
      <c r="XEW120"/>
      <c r="XEX120"/>
      <c r="XEY120"/>
      <c r="XEZ120"/>
      <c r="XFA120"/>
      <c r="XFB120"/>
      <c r="XFC120"/>
      <c r="XFD120"/>
    </row>
    <row r="121" spans="2:3 16369:16384" s="10" customFormat="1" ht="24.95" customHeight="1" x14ac:dyDescent="0.2">
      <c r="B121" s="34"/>
      <c r="C121" s="9"/>
      <c r="XEO121"/>
      <c r="XEP121"/>
      <c r="XEQ121"/>
      <c r="XER121"/>
      <c r="XES121"/>
      <c r="XET121"/>
      <c r="XEU121"/>
      <c r="XEV121"/>
      <c r="XEW121"/>
      <c r="XEX121"/>
      <c r="XEY121"/>
      <c r="XEZ121"/>
      <c r="XFA121"/>
      <c r="XFB121"/>
      <c r="XFC121"/>
      <c r="XFD121"/>
    </row>
    <row r="122" spans="2:3 16369:16384" s="10" customFormat="1" ht="24.95" customHeight="1" x14ac:dyDescent="0.2">
      <c r="B122" s="34"/>
      <c r="C122" s="9"/>
      <c r="XEO122"/>
      <c r="XEP122"/>
      <c r="XEQ122"/>
      <c r="XER122"/>
      <c r="XES122"/>
      <c r="XET122"/>
      <c r="XEU122"/>
      <c r="XEV122"/>
      <c r="XEW122"/>
      <c r="XEX122"/>
      <c r="XEY122"/>
      <c r="XEZ122"/>
      <c r="XFA122"/>
      <c r="XFB122"/>
      <c r="XFC122"/>
      <c r="XFD122"/>
    </row>
    <row r="123" spans="2:3 16369:16384" s="10" customFormat="1" ht="24.95" customHeight="1" x14ac:dyDescent="0.2">
      <c r="B123" s="34"/>
      <c r="C123" s="9"/>
      <c r="XEO123"/>
      <c r="XEP123"/>
      <c r="XEQ123"/>
      <c r="XER123"/>
      <c r="XES123"/>
      <c r="XET123"/>
      <c r="XEU123"/>
      <c r="XEV123"/>
      <c r="XEW123"/>
      <c r="XEX123"/>
      <c r="XEY123"/>
      <c r="XEZ123"/>
      <c r="XFA123"/>
      <c r="XFB123"/>
      <c r="XFC123"/>
      <c r="XFD123"/>
    </row>
    <row r="124" spans="2:3 16369:16384" s="10" customFormat="1" ht="24.95" customHeight="1" x14ac:dyDescent="0.2">
      <c r="B124" s="34"/>
      <c r="C124" s="9"/>
      <c r="XEO124"/>
      <c r="XEP124"/>
      <c r="XEQ124"/>
      <c r="XER124"/>
      <c r="XES124"/>
      <c r="XET124"/>
      <c r="XEU124"/>
      <c r="XEV124"/>
      <c r="XEW124"/>
      <c r="XEX124"/>
      <c r="XEY124"/>
      <c r="XEZ124"/>
      <c r="XFA124"/>
      <c r="XFB124"/>
      <c r="XFC124"/>
      <c r="XFD124"/>
    </row>
    <row r="125" spans="2:3 16369:16384" s="10" customFormat="1" ht="24.95" customHeight="1" x14ac:dyDescent="0.2">
      <c r="B125" s="34"/>
      <c r="C125" s="9"/>
      <c r="XEO125"/>
      <c r="XEP125"/>
      <c r="XEQ125"/>
      <c r="XER125"/>
      <c r="XES125"/>
      <c r="XET125"/>
      <c r="XEU125"/>
      <c r="XEV125"/>
      <c r="XEW125"/>
      <c r="XEX125"/>
      <c r="XEY125"/>
      <c r="XEZ125"/>
      <c r="XFA125"/>
      <c r="XFB125"/>
      <c r="XFC125"/>
      <c r="XFD125"/>
    </row>
    <row r="126" spans="2:3 16369:16384" s="10" customFormat="1" ht="24.95" customHeight="1" x14ac:dyDescent="0.2">
      <c r="B126" s="34"/>
      <c r="C126" s="9"/>
      <c r="XEO126"/>
      <c r="XEP126"/>
      <c r="XEQ126"/>
      <c r="XER126"/>
      <c r="XES126"/>
      <c r="XET126"/>
      <c r="XEU126"/>
      <c r="XEV126"/>
      <c r="XEW126"/>
      <c r="XEX126"/>
      <c r="XEY126"/>
      <c r="XEZ126"/>
      <c r="XFA126"/>
      <c r="XFB126"/>
      <c r="XFC126"/>
      <c r="XFD126"/>
    </row>
    <row r="127" spans="2:3 16369:16384" s="10" customFormat="1" ht="24.95" customHeight="1" x14ac:dyDescent="0.2">
      <c r="B127" s="34"/>
      <c r="C127" s="9"/>
      <c r="XEO127"/>
      <c r="XEP127"/>
      <c r="XEQ127"/>
      <c r="XER127"/>
      <c r="XES127"/>
      <c r="XET127"/>
      <c r="XEU127"/>
      <c r="XEV127"/>
      <c r="XEW127"/>
      <c r="XEX127"/>
      <c r="XEY127"/>
      <c r="XEZ127"/>
      <c r="XFA127"/>
      <c r="XFB127"/>
      <c r="XFC127"/>
      <c r="XFD127"/>
    </row>
    <row r="128" spans="2:3 16369:16384" s="10" customFormat="1" ht="24.95" customHeight="1" x14ac:dyDescent="0.2">
      <c r="B128" s="34"/>
      <c r="C128" s="9"/>
      <c r="XEO128"/>
      <c r="XEP128"/>
      <c r="XEQ128"/>
      <c r="XER128"/>
      <c r="XES128"/>
      <c r="XET128"/>
      <c r="XEU128"/>
      <c r="XEV128"/>
      <c r="XEW128"/>
      <c r="XEX128"/>
      <c r="XEY128"/>
      <c r="XEZ128"/>
      <c r="XFA128"/>
      <c r="XFB128"/>
      <c r="XFC128"/>
      <c r="XFD128"/>
    </row>
    <row r="129" spans="2:3 16369:16384" s="10" customFormat="1" ht="24.95" customHeight="1" x14ac:dyDescent="0.2">
      <c r="B129" s="34"/>
      <c r="C129" s="9"/>
      <c r="XEO129"/>
      <c r="XEP129"/>
      <c r="XEQ129"/>
      <c r="XER129"/>
      <c r="XES129"/>
      <c r="XET129"/>
      <c r="XEU129"/>
      <c r="XEV129"/>
      <c r="XEW129"/>
      <c r="XEX129"/>
      <c r="XEY129"/>
      <c r="XEZ129"/>
      <c r="XFA129"/>
      <c r="XFB129"/>
      <c r="XFC129"/>
      <c r="XFD129"/>
    </row>
    <row r="130" spans="2:3 16369:16384" s="10" customFormat="1" ht="24.95" customHeight="1" x14ac:dyDescent="0.2">
      <c r="B130" s="34"/>
      <c r="C130" s="9"/>
      <c r="XEO130"/>
      <c r="XEP130"/>
      <c r="XEQ130"/>
      <c r="XER130"/>
      <c r="XES130"/>
      <c r="XET130"/>
      <c r="XEU130"/>
      <c r="XEV130"/>
      <c r="XEW130"/>
      <c r="XEX130"/>
      <c r="XEY130"/>
      <c r="XEZ130"/>
      <c r="XFA130"/>
      <c r="XFB130"/>
      <c r="XFC130"/>
      <c r="XFD130"/>
    </row>
    <row r="131" spans="2:3 16369:16384" s="10" customFormat="1" ht="24.95" customHeight="1" x14ac:dyDescent="0.2">
      <c r="B131" s="34"/>
      <c r="C131" s="9"/>
      <c r="XEO131"/>
      <c r="XEP131"/>
      <c r="XEQ131"/>
      <c r="XER131"/>
      <c r="XES131"/>
      <c r="XET131"/>
      <c r="XEU131"/>
      <c r="XEV131"/>
      <c r="XEW131"/>
      <c r="XEX131"/>
      <c r="XEY131"/>
      <c r="XEZ131"/>
      <c r="XFA131"/>
      <c r="XFB131"/>
      <c r="XFC131"/>
      <c r="XFD131"/>
    </row>
    <row r="132" spans="2:3 16369:16384" s="10" customFormat="1" ht="24.95" customHeight="1" x14ac:dyDescent="0.2">
      <c r="B132" s="34"/>
      <c r="C132" s="9"/>
      <c r="XEO132"/>
      <c r="XEP132"/>
      <c r="XEQ132"/>
      <c r="XER132"/>
      <c r="XES132"/>
      <c r="XET132"/>
      <c r="XEU132"/>
      <c r="XEV132"/>
      <c r="XEW132"/>
      <c r="XEX132"/>
      <c r="XEY132"/>
      <c r="XEZ132"/>
      <c r="XFA132"/>
      <c r="XFB132"/>
      <c r="XFC132"/>
      <c r="XFD132"/>
    </row>
    <row r="133" spans="2:3 16369:16384" s="10" customFormat="1" ht="24.95" customHeight="1" x14ac:dyDescent="0.2">
      <c r="B133" s="34"/>
      <c r="C133" s="9"/>
      <c r="XEO133"/>
      <c r="XEP133"/>
      <c r="XEQ133"/>
      <c r="XER133"/>
      <c r="XES133"/>
      <c r="XET133"/>
      <c r="XEU133"/>
      <c r="XEV133"/>
      <c r="XEW133"/>
      <c r="XEX133"/>
      <c r="XEY133"/>
      <c r="XEZ133"/>
      <c r="XFA133"/>
      <c r="XFB133"/>
      <c r="XFC133"/>
      <c r="XFD133"/>
    </row>
    <row r="134" spans="2:3 16369:16384" s="10" customFormat="1" ht="24.95" customHeight="1" x14ac:dyDescent="0.2">
      <c r="B134" s="34"/>
      <c r="C134" s="9"/>
      <c r="XEO134"/>
      <c r="XEP134"/>
      <c r="XEQ134"/>
      <c r="XER134"/>
      <c r="XES134"/>
      <c r="XET134"/>
      <c r="XEU134"/>
      <c r="XEV134"/>
      <c r="XEW134"/>
      <c r="XEX134"/>
      <c r="XEY134"/>
      <c r="XEZ134"/>
      <c r="XFA134"/>
      <c r="XFB134"/>
      <c r="XFC134"/>
      <c r="XFD134"/>
    </row>
    <row r="135" spans="2:3 16369:16384" s="10" customFormat="1" ht="24.95" customHeight="1" x14ac:dyDescent="0.2">
      <c r="B135" s="34"/>
      <c r="C135" s="9"/>
      <c r="XEO135"/>
      <c r="XEP135"/>
      <c r="XEQ135"/>
      <c r="XER135"/>
      <c r="XES135"/>
      <c r="XET135"/>
      <c r="XEU135"/>
      <c r="XEV135"/>
      <c r="XEW135"/>
      <c r="XEX135"/>
      <c r="XEY135"/>
      <c r="XEZ135"/>
      <c r="XFA135"/>
      <c r="XFB135"/>
      <c r="XFC135"/>
      <c r="XFD135"/>
    </row>
    <row r="136" spans="2:3 16369:16384" s="10" customFormat="1" ht="24.95" customHeight="1" x14ac:dyDescent="0.2">
      <c r="B136" s="34"/>
      <c r="C136" s="9"/>
      <c r="XEO136"/>
      <c r="XEP136"/>
      <c r="XEQ136"/>
      <c r="XER136"/>
      <c r="XES136"/>
      <c r="XET136"/>
      <c r="XEU136"/>
      <c r="XEV136"/>
      <c r="XEW136"/>
      <c r="XEX136"/>
      <c r="XEY136"/>
      <c r="XEZ136"/>
      <c r="XFA136"/>
      <c r="XFB136"/>
      <c r="XFC136"/>
      <c r="XFD136"/>
    </row>
    <row r="137" spans="2:3 16369:16384" s="10" customFormat="1" ht="24.95" customHeight="1" x14ac:dyDescent="0.2">
      <c r="B137" s="34"/>
      <c r="C137" s="9"/>
      <c r="XEO137"/>
      <c r="XEP137"/>
      <c r="XEQ137"/>
      <c r="XER137"/>
      <c r="XES137"/>
      <c r="XET137"/>
      <c r="XEU137"/>
      <c r="XEV137"/>
      <c r="XEW137"/>
      <c r="XEX137"/>
      <c r="XEY137"/>
      <c r="XEZ137"/>
      <c r="XFA137"/>
      <c r="XFB137"/>
      <c r="XFC137"/>
      <c r="XFD137"/>
    </row>
    <row r="138" spans="2:3 16369:16384" s="10" customFormat="1" ht="24.95" customHeight="1" x14ac:dyDescent="0.2">
      <c r="B138" s="34"/>
      <c r="C138" s="9"/>
      <c r="XEO138"/>
      <c r="XEP138"/>
      <c r="XEQ138"/>
      <c r="XER138"/>
      <c r="XES138"/>
      <c r="XET138"/>
      <c r="XEU138"/>
      <c r="XEV138"/>
      <c r="XEW138"/>
      <c r="XEX138"/>
      <c r="XEY138"/>
      <c r="XEZ138"/>
      <c r="XFA138"/>
      <c r="XFB138"/>
      <c r="XFC138"/>
      <c r="XFD138"/>
    </row>
    <row r="139" spans="2:3 16369:16384" s="10" customFormat="1" ht="24.95" customHeight="1" x14ac:dyDescent="0.2">
      <c r="B139" s="34"/>
      <c r="C139" s="9"/>
      <c r="XEO139"/>
      <c r="XEP139"/>
      <c r="XEQ139"/>
      <c r="XER139"/>
      <c r="XES139"/>
      <c r="XET139"/>
      <c r="XEU139"/>
      <c r="XEV139"/>
      <c r="XEW139"/>
      <c r="XEX139"/>
      <c r="XEY139"/>
      <c r="XEZ139"/>
      <c r="XFA139"/>
      <c r="XFB139"/>
      <c r="XFC139"/>
      <c r="XFD139"/>
    </row>
    <row r="140" spans="2:3 16369:16384" s="10" customFormat="1" ht="24.95" customHeight="1" x14ac:dyDescent="0.2">
      <c r="B140" s="34"/>
      <c r="C140" s="9"/>
      <c r="XEO140"/>
      <c r="XEP140"/>
      <c r="XEQ140"/>
      <c r="XER140"/>
      <c r="XES140"/>
      <c r="XET140"/>
      <c r="XEU140"/>
      <c r="XEV140"/>
      <c r="XEW140"/>
      <c r="XEX140"/>
      <c r="XEY140"/>
      <c r="XEZ140"/>
      <c r="XFA140"/>
      <c r="XFB140"/>
      <c r="XFC140"/>
      <c r="XFD140"/>
    </row>
    <row r="141" spans="2:3 16369:16384" s="10" customFormat="1" ht="24.95" customHeight="1" x14ac:dyDescent="0.2">
      <c r="B141" s="34"/>
      <c r="C141" s="9"/>
      <c r="XEO141"/>
      <c r="XEP141"/>
      <c r="XEQ141"/>
      <c r="XER141"/>
      <c r="XES141"/>
      <c r="XET141"/>
      <c r="XEU141"/>
      <c r="XEV141"/>
      <c r="XEW141"/>
      <c r="XEX141"/>
      <c r="XEY141"/>
      <c r="XEZ141"/>
      <c r="XFA141"/>
      <c r="XFB141"/>
      <c r="XFC141"/>
      <c r="XFD141"/>
    </row>
    <row r="142" spans="2:3 16369:16384" s="10" customFormat="1" ht="24.95" customHeight="1" x14ac:dyDescent="0.2">
      <c r="B142" s="34"/>
      <c r="C142" s="9"/>
      <c r="XEO142"/>
      <c r="XEP142"/>
      <c r="XEQ142"/>
      <c r="XER142"/>
      <c r="XES142"/>
      <c r="XET142"/>
      <c r="XEU142"/>
      <c r="XEV142"/>
      <c r="XEW142"/>
      <c r="XEX142"/>
      <c r="XEY142"/>
      <c r="XEZ142"/>
      <c r="XFA142"/>
      <c r="XFB142"/>
      <c r="XFC142"/>
      <c r="XFD142"/>
    </row>
    <row r="143" spans="2:3 16369:16384" s="10" customFormat="1" ht="24.95" customHeight="1" x14ac:dyDescent="0.2">
      <c r="B143" s="34"/>
      <c r="C143" s="9"/>
      <c r="XEO143"/>
      <c r="XEP143"/>
      <c r="XEQ143"/>
      <c r="XER143"/>
      <c r="XES143"/>
      <c r="XET143"/>
      <c r="XEU143"/>
      <c r="XEV143"/>
      <c r="XEW143"/>
      <c r="XEX143"/>
      <c r="XEY143"/>
      <c r="XEZ143"/>
      <c r="XFA143"/>
      <c r="XFB143"/>
      <c r="XFC143"/>
      <c r="XFD143"/>
    </row>
    <row r="144" spans="2:3 16369:16384" s="10" customFormat="1" ht="24.95" customHeight="1" x14ac:dyDescent="0.2">
      <c r="B144" s="34"/>
      <c r="C144" s="9"/>
      <c r="XEO144"/>
      <c r="XEP144"/>
      <c r="XEQ144"/>
      <c r="XER144"/>
      <c r="XES144"/>
      <c r="XET144"/>
      <c r="XEU144"/>
      <c r="XEV144"/>
      <c r="XEW144"/>
      <c r="XEX144"/>
      <c r="XEY144"/>
      <c r="XEZ144"/>
      <c r="XFA144"/>
      <c r="XFB144"/>
      <c r="XFC144"/>
      <c r="XFD144"/>
    </row>
    <row r="145" spans="2:3 16369:16384" s="10" customFormat="1" ht="24.95" customHeight="1" x14ac:dyDescent="0.2">
      <c r="B145" s="34"/>
      <c r="C145" s="9"/>
      <c r="XEO145"/>
      <c r="XEP145"/>
      <c r="XEQ145"/>
      <c r="XER145"/>
      <c r="XES145"/>
      <c r="XET145"/>
      <c r="XEU145"/>
      <c r="XEV145"/>
      <c r="XEW145"/>
      <c r="XEX145"/>
      <c r="XEY145"/>
      <c r="XEZ145"/>
      <c r="XFA145"/>
      <c r="XFB145"/>
      <c r="XFC145"/>
      <c r="XFD145"/>
    </row>
    <row r="146" spans="2:3 16369:16384" s="10" customFormat="1" ht="24.95" customHeight="1" x14ac:dyDescent="0.2">
      <c r="B146" s="34"/>
      <c r="C146" s="9"/>
      <c r="XEO146"/>
      <c r="XEP146"/>
      <c r="XEQ146"/>
      <c r="XER146"/>
      <c r="XES146"/>
      <c r="XET146"/>
      <c r="XEU146"/>
      <c r="XEV146"/>
      <c r="XEW146"/>
      <c r="XEX146"/>
      <c r="XEY146"/>
      <c r="XEZ146"/>
      <c r="XFA146"/>
      <c r="XFB146"/>
      <c r="XFC146"/>
      <c r="XFD146"/>
    </row>
    <row r="147" spans="2:3 16369:16384" s="10" customFormat="1" ht="24.95" customHeight="1" x14ac:dyDescent="0.2">
      <c r="B147" s="34"/>
      <c r="C147" s="9"/>
      <c r="XEO147"/>
      <c r="XEP147"/>
      <c r="XEQ147"/>
      <c r="XER147"/>
      <c r="XES147"/>
      <c r="XET147"/>
      <c r="XEU147"/>
      <c r="XEV147"/>
      <c r="XEW147"/>
      <c r="XEX147"/>
      <c r="XEY147"/>
      <c r="XEZ147"/>
      <c r="XFA147"/>
      <c r="XFB147"/>
      <c r="XFC147"/>
      <c r="XFD147"/>
    </row>
    <row r="148" spans="2:3 16369:16384" s="10" customFormat="1" ht="24.95" customHeight="1" x14ac:dyDescent="0.2">
      <c r="B148" s="34"/>
      <c r="C148" s="9"/>
      <c r="XEO148"/>
      <c r="XEP148"/>
      <c r="XEQ148"/>
      <c r="XER148"/>
      <c r="XES148"/>
      <c r="XET148"/>
      <c r="XEU148"/>
      <c r="XEV148"/>
      <c r="XEW148"/>
      <c r="XEX148"/>
      <c r="XEY148"/>
      <c r="XEZ148"/>
      <c r="XFA148"/>
      <c r="XFB148"/>
      <c r="XFC148"/>
      <c r="XFD148"/>
    </row>
    <row r="149" spans="2:3 16369:16384" s="10" customFormat="1" ht="24.95" customHeight="1" x14ac:dyDescent="0.2">
      <c r="B149" s="34"/>
      <c r="C149" s="9"/>
      <c r="XEO149"/>
      <c r="XEP149"/>
      <c r="XEQ149"/>
      <c r="XER149"/>
      <c r="XES149"/>
      <c r="XET149"/>
      <c r="XEU149"/>
      <c r="XEV149"/>
      <c r="XEW149"/>
      <c r="XEX149"/>
      <c r="XEY149"/>
      <c r="XEZ149"/>
      <c r="XFA149"/>
      <c r="XFB149"/>
      <c r="XFC149"/>
      <c r="XFD149"/>
    </row>
    <row r="150" spans="2:3 16369:16384" s="10" customFormat="1" ht="24.95" customHeight="1" x14ac:dyDescent="0.2">
      <c r="B150" s="34"/>
      <c r="C150" s="9"/>
      <c r="XEO150"/>
      <c r="XEP150"/>
      <c r="XEQ150"/>
      <c r="XER150"/>
      <c r="XES150"/>
      <c r="XET150"/>
      <c r="XEU150"/>
      <c r="XEV150"/>
      <c r="XEW150"/>
      <c r="XEX150"/>
      <c r="XEY150"/>
      <c r="XEZ150"/>
      <c r="XFA150"/>
      <c r="XFB150"/>
      <c r="XFC150"/>
      <c r="XFD150"/>
    </row>
    <row r="151" spans="2:3 16369:16384" s="10" customFormat="1" ht="24.95" customHeight="1" x14ac:dyDescent="0.2">
      <c r="B151" s="34"/>
      <c r="C151" s="9"/>
      <c r="XEO151"/>
      <c r="XEP151"/>
      <c r="XEQ151"/>
      <c r="XER151"/>
      <c r="XES151"/>
      <c r="XET151"/>
      <c r="XEU151"/>
      <c r="XEV151"/>
      <c r="XEW151"/>
      <c r="XEX151"/>
      <c r="XEY151"/>
      <c r="XEZ151"/>
      <c r="XFA151"/>
      <c r="XFB151"/>
      <c r="XFC151"/>
      <c r="XFD151"/>
    </row>
    <row r="152" spans="2:3 16369:16384" s="10" customFormat="1" ht="24.95" customHeight="1" x14ac:dyDescent="0.2">
      <c r="B152" s="34"/>
      <c r="C152" s="9"/>
      <c r="XEO152"/>
      <c r="XEP152"/>
      <c r="XEQ152"/>
      <c r="XER152"/>
      <c r="XES152"/>
      <c r="XET152"/>
      <c r="XEU152"/>
      <c r="XEV152"/>
      <c r="XEW152"/>
      <c r="XEX152"/>
      <c r="XEY152"/>
      <c r="XEZ152"/>
      <c r="XFA152"/>
      <c r="XFB152"/>
      <c r="XFC152"/>
      <c r="XFD152"/>
    </row>
    <row r="153" spans="2:3 16369:16384" s="10" customFormat="1" ht="24.95" customHeight="1" x14ac:dyDescent="0.2">
      <c r="B153" s="34"/>
      <c r="C153" s="9"/>
      <c r="XEO153"/>
      <c r="XEP153"/>
      <c r="XEQ153"/>
      <c r="XER153"/>
      <c r="XES153"/>
      <c r="XET153"/>
      <c r="XEU153"/>
      <c r="XEV153"/>
      <c r="XEW153"/>
      <c r="XEX153"/>
      <c r="XEY153"/>
      <c r="XEZ153"/>
      <c r="XFA153"/>
      <c r="XFB153"/>
      <c r="XFC153"/>
      <c r="XFD153"/>
    </row>
    <row r="154" spans="2:3 16369:16384" s="10" customFormat="1" ht="24.95" customHeight="1" x14ac:dyDescent="0.2">
      <c r="B154" s="34"/>
      <c r="C154" s="9"/>
      <c r="XEO154"/>
      <c r="XEP154"/>
      <c r="XEQ154"/>
      <c r="XER154"/>
      <c r="XES154"/>
      <c r="XET154"/>
      <c r="XEU154"/>
      <c r="XEV154"/>
      <c r="XEW154"/>
      <c r="XEX154"/>
      <c r="XEY154"/>
      <c r="XEZ154"/>
      <c r="XFA154"/>
      <c r="XFB154"/>
      <c r="XFC154"/>
      <c r="XFD154"/>
    </row>
    <row r="155" spans="2:3 16369:16384" s="10" customFormat="1" ht="24.95" customHeight="1" x14ac:dyDescent="0.2">
      <c r="B155" s="34"/>
      <c r="C155" s="9"/>
      <c r="XEO155"/>
      <c r="XEP155"/>
      <c r="XEQ155"/>
      <c r="XER155"/>
      <c r="XES155"/>
      <c r="XET155"/>
      <c r="XEU155"/>
      <c r="XEV155"/>
      <c r="XEW155"/>
      <c r="XEX155"/>
      <c r="XEY155"/>
      <c r="XEZ155"/>
      <c r="XFA155"/>
      <c r="XFB155"/>
      <c r="XFC155"/>
      <c r="XFD155"/>
    </row>
    <row r="156" spans="2:3 16369:16384" s="10" customFormat="1" ht="24.95" customHeight="1" x14ac:dyDescent="0.2">
      <c r="B156" s="34"/>
      <c r="C156" s="9"/>
      <c r="XEO156"/>
      <c r="XEP156"/>
      <c r="XEQ156"/>
      <c r="XER156"/>
      <c r="XES156"/>
      <c r="XET156"/>
      <c r="XEU156"/>
      <c r="XEV156"/>
      <c r="XEW156"/>
      <c r="XEX156"/>
      <c r="XEY156"/>
      <c r="XEZ156"/>
      <c r="XFA156"/>
      <c r="XFB156"/>
      <c r="XFC156"/>
      <c r="XFD156"/>
    </row>
    <row r="157" spans="2:3 16369:16384" s="10" customFormat="1" ht="24.95" customHeight="1" x14ac:dyDescent="0.2">
      <c r="B157" s="34"/>
      <c r="C157" s="9"/>
      <c r="XEO157"/>
      <c r="XEP157"/>
      <c r="XEQ157"/>
      <c r="XER157"/>
      <c r="XES157"/>
      <c r="XET157"/>
      <c r="XEU157"/>
      <c r="XEV157"/>
      <c r="XEW157"/>
      <c r="XEX157"/>
      <c r="XEY157"/>
      <c r="XEZ157"/>
      <c r="XFA157"/>
      <c r="XFB157"/>
      <c r="XFC157"/>
      <c r="XFD157"/>
    </row>
    <row r="158" spans="2:3 16369:16384" s="10" customFormat="1" ht="24.95" customHeight="1" x14ac:dyDescent="0.2">
      <c r="B158" s="34"/>
      <c r="C158" s="9"/>
      <c r="XEO158"/>
      <c r="XEP158"/>
      <c r="XEQ158"/>
      <c r="XER158"/>
      <c r="XES158"/>
      <c r="XET158"/>
      <c r="XEU158"/>
      <c r="XEV158"/>
      <c r="XEW158"/>
      <c r="XEX158"/>
      <c r="XEY158"/>
      <c r="XEZ158"/>
      <c r="XFA158"/>
      <c r="XFB158"/>
      <c r="XFC158"/>
      <c r="XFD158"/>
    </row>
    <row r="159" spans="2:3 16369:16384" s="10" customFormat="1" ht="24.95" customHeight="1" x14ac:dyDescent="0.2">
      <c r="B159" s="34"/>
      <c r="C159" s="9"/>
      <c r="XEO159"/>
      <c r="XEP159"/>
      <c r="XEQ159"/>
      <c r="XER159"/>
      <c r="XES159"/>
      <c r="XET159"/>
      <c r="XEU159"/>
      <c r="XEV159"/>
      <c r="XEW159"/>
      <c r="XEX159"/>
      <c r="XEY159"/>
      <c r="XEZ159"/>
      <c r="XFA159"/>
      <c r="XFB159"/>
      <c r="XFC159"/>
      <c r="XFD159"/>
    </row>
    <row r="160" spans="2:3 16369:16384" s="10" customFormat="1" ht="24.95" customHeight="1" x14ac:dyDescent="0.2">
      <c r="B160" s="34"/>
      <c r="C160" s="9"/>
      <c r="XEO160"/>
      <c r="XEP160"/>
      <c r="XEQ160"/>
      <c r="XER160"/>
      <c r="XES160"/>
      <c r="XET160"/>
      <c r="XEU160"/>
      <c r="XEV160"/>
      <c r="XEW160"/>
      <c r="XEX160"/>
      <c r="XEY160"/>
      <c r="XEZ160"/>
      <c r="XFA160"/>
      <c r="XFB160"/>
      <c r="XFC160"/>
      <c r="XFD160"/>
    </row>
    <row r="161" spans="2:3 16369:16384" s="10" customFormat="1" ht="24.95" customHeight="1" x14ac:dyDescent="0.2">
      <c r="B161" s="34"/>
      <c r="C161" s="9"/>
      <c r="XEO161"/>
      <c r="XEP161"/>
      <c r="XEQ161"/>
      <c r="XER161"/>
      <c r="XES161"/>
      <c r="XET161"/>
      <c r="XEU161"/>
      <c r="XEV161"/>
      <c r="XEW161"/>
      <c r="XEX161"/>
      <c r="XEY161"/>
      <c r="XEZ161"/>
      <c r="XFA161"/>
      <c r="XFB161"/>
      <c r="XFC161"/>
      <c r="XFD161"/>
    </row>
    <row r="162" spans="2:3 16369:16384" s="10" customFormat="1" ht="24.95" customHeight="1" x14ac:dyDescent="0.2">
      <c r="B162" s="34"/>
      <c r="C162" s="9"/>
      <c r="XEO162"/>
      <c r="XEP162"/>
      <c r="XEQ162"/>
      <c r="XER162"/>
      <c r="XES162"/>
      <c r="XET162"/>
      <c r="XEU162"/>
      <c r="XEV162"/>
      <c r="XEW162"/>
      <c r="XEX162"/>
      <c r="XEY162"/>
      <c r="XEZ162"/>
      <c r="XFA162"/>
      <c r="XFB162"/>
      <c r="XFC162"/>
      <c r="XFD162"/>
    </row>
    <row r="163" spans="2:3 16369:16384" s="10" customFormat="1" ht="24.95" customHeight="1" x14ac:dyDescent="0.2">
      <c r="B163" s="34"/>
      <c r="C163" s="9"/>
      <c r="XEO163"/>
      <c r="XEP163"/>
      <c r="XEQ163"/>
      <c r="XER163"/>
      <c r="XES163"/>
      <c r="XET163"/>
      <c r="XEU163"/>
      <c r="XEV163"/>
      <c r="XEW163"/>
      <c r="XEX163"/>
      <c r="XEY163"/>
      <c r="XEZ163"/>
      <c r="XFA163"/>
      <c r="XFB163"/>
      <c r="XFC163"/>
      <c r="XFD163"/>
    </row>
    <row r="164" spans="2:3 16369:16384" s="10" customFormat="1" ht="24.95" customHeight="1" x14ac:dyDescent="0.2">
      <c r="B164" s="34"/>
      <c r="C164" s="9"/>
      <c r="XEO164"/>
      <c r="XEP164"/>
      <c r="XEQ164"/>
      <c r="XER164"/>
      <c r="XES164"/>
      <c r="XET164"/>
      <c r="XEU164"/>
      <c r="XEV164"/>
      <c r="XEW164"/>
      <c r="XEX164"/>
      <c r="XEY164"/>
      <c r="XEZ164"/>
      <c r="XFA164"/>
      <c r="XFB164"/>
      <c r="XFC164"/>
      <c r="XFD164"/>
    </row>
    <row r="165" spans="2:3 16369:16384" s="10" customFormat="1" ht="24.95" customHeight="1" x14ac:dyDescent="0.2">
      <c r="B165" s="34"/>
      <c r="C165" s="9"/>
      <c r="XEO165"/>
      <c r="XEP165"/>
      <c r="XEQ165"/>
      <c r="XER165"/>
      <c r="XES165"/>
      <c r="XET165"/>
      <c r="XEU165"/>
      <c r="XEV165"/>
      <c r="XEW165"/>
      <c r="XEX165"/>
      <c r="XEY165"/>
      <c r="XEZ165"/>
      <c r="XFA165"/>
      <c r="XFB165"/>
      <c r="XFC165"/>
      <c r="XFD165"/>
    </row>
    <row r="166" spans="2:3 16369:16384" s="10" customFormat="1" ht="24.95" customHeight="1" x14ac:dyDescent="0.2">
      <c r="B166" s="34"/>
      <c r="C166" s="9"/>
      <c r="XEO166"/>
      <c r="XEP166"/>
      <c r="XEQ166"/>
      <c r="XER166"/>
      <c r="XES166"/>
      <c r="XET166"/>
      <c r="XEU166"/>
      <c r="XEV166"/>
      <c r="XEW166"/>
      <c r="XEX166"/>
      <c r="XEY166"/>
      <c r="XEZ166"/>
      <c r="XFA166"/>
      <c r="XFB166"/>
      <c r="XFC166"/>
      <c r="XFD166"/>
    </row>
    <row r="167" spans="2:3 16369:16384" s="10" customFormat="1" ht="24.95" customHeight="1" x14ac:dyDescent="0.2">
      <c r="B167" s="34"/>
      <c r="C167" s="9"/>
      <c r="XEO167"/>
      <c r="XEP167"/>
      <c r="XEQ167"/>
      <c r="XER167"/>
      <c r="XES167"/>
      <c r="XET167"/>
      <c r="XEU167"/>
      <c r="XEV167"/>
      <c r="XEW167"/>
      <c r="XEX167"/>
      <c r="XEY167"/>
      <c r="XEZ167"/>
      <c r="XFA167"/>
      <c r="XFB167"/>
      <c r="XFC167"/>
      <c r="XFD167"/>
    </row>
    <row r="168" spans="2:3 16369:16384" s="10" customFormat="1" ht="24.95" customHeight="1" x14ac:dyDescent="0.2">
      <c r="B168" s="34"/>
      <c r="C168" s="9"/>
      <c r="XEO168"/>
      <c r="XEP168"/>
      <c r="XEQ168"/>
      <c r="XER168"/>
      <c r="XES168"/>
      <c r="XET168"/>
      <c r="XEU168"/>
      <c r="XEV168"/>
      <c r="XEW168"/>
      <c r="XEX168"/>
      <c r="XEY168"/>
      <c r="XEZ168"/>
      <c r="XFA168"/>
      <c r="XFB168"/>
      <c r="XFC168"/>
      <c r="XFD168"/>
    </row>
    <row r="169" spans="2:3 16369:16384" s="10" customFormat="1" ht="24.95" customHeight="1" x14ac:dyDescent="0.2">
      <c r="B169" s="34"/>
      <c r="C169" s="9"/>
      <c r="XEO169"/>
      <c r="XEP169"/>
      <c r="XEQ169"/>
      <c r="XER169"/>
      <c r="XES169"/>
      <c r="XET169"/>
      <c r="XEU169"/>
      <c r="XEV169"/>
      <c r="XEW169"/>
      <c r="XEX169"/>
      <c r="XEY169"/>
      <c r="XEZ169"/>
      <c r="XFA169"/>
      <c r="XFB169"/>
      <c r="XFC169"/>
      <c r="XFD169"/>
    </row>
    <row r="170" spans="2:3 16369:16384" s="10" customFormat="1" ht="24.95" customHeight="1" x14ac:dyDescent="0.2">
      <c r="B170" s="34"/>
      <c r="C170" s="9"/>
      <c r="XEO170"/>
      <c r="XEP170"/>
      <c r="XEQ170"/>
      <c r="XER170"/>
      <c r="XES170"/>
      <c r="XET170"/>
      <c r="XEU170"/>
      <c r="XEV170"/>
      <c r="XEW170"/>
      <c r="XEX170"/>
      <c r="XEY170"/>
      <c r="XEZ170"/>
      <c r="XFA170"/>
      <c r="XFB170"/>
      <c r="XFC170"/>
      <c r="XFD170"/>
    </row>
    <row r="171" spans="2:3 16369:16384" s="10" customFormat="1" ht="24.95" customHeight="1" x14ac:dyDescent="0.2">
      <c r="B171" s="34"/>
      <c r="C171" s="9"/>
      <c r="XEO171"/>
      <c r="XEP171"/>
      <c r="XEQ171"/>
      <c r="XER171"/>
      <c r="XES171"/>
      <c r="XET171"/>
      <c r="XEU171"/>
      <c r="XEV171"/>
      <c r="XEW171"/>
      <c r="XEX171"/>
      <c r="XEY171"/>
      <c r="XEZ171"/>
      <c r="XFA171"/>
      <c r="XFB171"/>
      <c r="XFC171"/>
      <c r="XFD171"/>
    </row>
    <row r="172" spans="2:3 16369:16384" s="10" customFormat="1" ht="24.95" customHeight="1" x14ac:dyDescent="0.2">
      <c r="B172" s="34"/>
      <c r="C172" s="9"/>
      <c r="XEO172"/>
      <c r="XEP172"/>
      <c r="XEQ172"/>
      <c r="XER172"/>
      <c r="XES172"/>
      <c r="XET172"/>
      <c r="XEU172"/>
      <c r="XEV172"/>
      <c r="XEW172"/>
      <c r="XEX172"/>
      <c r="XEY172"/>
      <c r="XEZ172"/>
      <c r="XFA172"/>
      <c r="XFB172"/>
      <c r="XFC172"/>
      <c r="XFD172"/>
    </row>
    <row r="173" spans="2:3 16369:16384" s="10" customFormat="1" ht="24.95" customHeight="1" x14ac:dyDescent="0.2">
      <c r="B173" s="34"/>
      <c r="C173" s="9"/>
      <c r="XEO173"/>
      <c r="XEP173"/>
      <c r="XEQ173"/>
      <c r="XER173"/>
      <c r="XES173"/>
      <c r="XET173"/>
      <c r="XEU173"/>
      <c r="XEV173"/>
      <c r="XEW173"/>
      <c r="XEX173"/>
      <c r="XEY173"/>
      <c r="XEZ173"/>
      <c r="XFA173"/>
      <c r="XFB173"/>
      <c r="XFC173"/>
      <c r="XFD173"/>
    </row>
    <row r="174" spans="2:3 16369:16384" s="10" customFormat="1" ht="24.95" customHeight="1" x14ac:dyDescent="0.2">
      <c r="B174" s="34"/>
      <c r="C174" s="9"/>
      <c r="XEO174"/>
      <c r="XEP174"/>
      <c r="XEQ174"/>
      <c r="XER174"/>
      <c r="XES174"/>
      <c r="XET174"/>
      <c r="XEU174"/>
      <c r="XEV174"/>
      <c r="XEW174"/>
      <c r="XEX174"/>
      <c r="XEY174"/>
      <c r="XEZ174"/>
      <c r="XFA174"/>
      <c r="XFB174"/>
      <c r="XFC174"/>
      <c r="XFD174"/>
    </row>
    <row r="175" spans="2:3 16369:16384" s="10" customFormat="1" ht="24.95" customHeight="1" x14ac:dyDescent="0.2">
      <c r="B175" s="34"/>
      <c r="C175" s="9"/>
      <c r="XEO175"/>
      <c r="XEP175"/>
      <c r="XEQ175"/>
      <c r="XER175"/>
      <c r="XES175"/>
      <c r="XET175"/>
      <c r="XEU175"/>
      <c r="XEV175"/>
      <c r="XEW175"/>
      <c r="XEX175"/>
      <c r="XEY175"/>
      <c r="XEZ175"/>
      <c r="XFA175"/>
      <c r="XFB175"/>
      <c r="XFC175"/>
      <c r="XFD175"/>
    </row>
    <row r="176" spans="2:3 16369:16384" s="10" customFormat="1" ht="24.95" customHeight="1" x14ac:dyDescent="0.2">
      <c r="B176" s="34"/>
      <c r="C176" s="9"/>
      <c r="XEO176"/>
      <c r="XEP176"/>
      <c r="XEQ176"/>
      <c r="XER176"/>
      <c r="XES176"/>
      <c r="XET176"/>
      <c r="XEU176"/>
      <c r="XEV176"/>
      <c r="XEW176"/>
      <c r="XEX176"/>
      <c r="XEY176"/>
      <c r="XEZ176"/>
      <c r="XFA176"/>
      <c r="XFB176"/>
      <c r="XFC176"/>
      <c r="XFD176"/>
    </row>
    <row r="177" spans="2:3 16369:16384" s="10" customFormat="1" ht="24.95" customHeight="1" x14ac:dyDescent="0.2">
      <c r="B177" s="34"/>
      <c r="C177" s="9"/>
      <c r="XEO177"/>
      <c r="XEP177"/>
      <c r="XEQ177"/>
      <c r="XER177"/>
      <c r="XES177"/>
      <c r="XET177"/>
      <c r="XEU177"/>
      <c r="XEV177"/>
      <c r="XEW177"/>
      <c r="XEX177"/>
      <c r="XEY177"/>
      <c r="XEZ177"/>
      <c r="XFA177"/>
      <c r="XFB177"/>
      <c r="XFC177"/>
      <c r="XFD177"/>
    </row>
    <row r="178" spans="2:3 16369:16384" s="10" customFormat="1" ht="24.95" customHeight="1" x14ac:dyDescent="0.2">
      <c r="B178" s="34"/>
      <c r="C178" s="9"/>
      <c r="XEO178"/>
      <c r="XEP178"/>
      <c r="XEQ178"/>
      <c r="XER178"/>
      <c r="XES178"/>
      <c r="XET178"/>
      <c r="XEU178"/>
      <c r="XEV178"/>
      <c r="XEW178"/>
      <c r="XEX178"/>
      <c r="XEY178"/>
      <c r="XEZ178"/>
      <c r="XFA178"/>
      <c r="XFB178"/>
      <c r="XFC178"/>
      <c r="XFD178"/>
    </row>
    <row r="179" spans="2:3 16369:16384" s="10" customFormat="1" ht="24.95" customHeight="1" x14ac:dyDescent="0.2">
      <c r="B179" s="34"/>
      <c r="C179" s="9"/>
      <c r="XEO179"/>
      <c r="XEP179"/>
      <c r="XEQ179"/>
      <c r="XER179"/>
      <c r="XES179"/>
      <c r="XET179"/>
      <c r="XEU179"/>
      <c r="XEV179"/>
      <c r="XEW179"/>
      <c r="XEX179"/>
      <c r="XEY179"/>
      <c r="XEZ179"/>
      <c r="XFA179"/>
      <c r="XFB179"/>
      <c r="XFC179"/>
      <c r="XFD179"/>
    </row>
    <row r="180" spans="2:3 16369:16384" s="10" customFormat="1" ht="24.95" customHeight="1" x14ac:dyDescent="0.2">
      <c r="B180" s="34"/>
      <c r="C180" s="9"/>
      <c r="XEO180"/>
      <c r="XEP180"/>
      <c r="XEQ180"/>
      <c r="XER180"/>
      <c r="XES180"/>
      <c r="XET180"/>
      <c r="XEU180"/>
      <c r="XEV180"/>
      <c r="XEW180"/>
      <c r="XEX180"/>
      <c r="XEY180"/>
      <c r="XEZ180"/>
      <c r="XFA180"/>
      <c r="XFB180"/>
      <c r="XFC180"/>
      <c r="XFD180"/>
    </row>
    <row r="181" spans="2:3 16369:16384" s="10" customFormat="1" ht="24.95" customHeight="1" x14ac:dyDescent="0.2">
      <c r="B181" s="34"/>
      <c r="C181" s="9"/>
      <c r="XEO181"/>
      <c r="XEP181"/>
      <c r="XEQ181"/>
      <c r="XER181"/>
      <c r="XES181"/>
      <c r="XET181"/>
      <c r="XEU181"/>
      <c r="XEV181"/>
      <c r="XEW181"/>
      <c r="XEX181"/>
      <c r="XEY181"/>
      <c r="XEZ181"/>
      <c r="XFA181"/>
      <c r="XFB181"/>
      <c r="XFC181"/>
      <c r="XFD181"/>
    </row>
    <row r="182" spans="2:3 16369:16384" s="10" customFormat="1" ht="24.95" customHeight="1" x14ac:dyDescent="0.2">
      <c r="B182" s="34"/>
      <c r="C182" s="9"/>
      <c r="XEO182"/>
      <c r="XEP182"/>
      <c r="XEQ182"/>
      <c r="XER182"/>
      <c r="XES182"/>
      <c r="XET182"/>
      <c r="XEU182"/>
      <c r="XEV182"/>
      <c r="XEW182"/>
      <c r="XEX182"/>
      <c r="XEY182"/>
      <c r="XEZ182"/>
      <c r="XFA182"/>
      <c r="XFB182"/>
      <c r="XFC182"/>
      <c r="XFD182"/>
    </row>
    <row r="183" spans="2:3 16369:16384" s="10" customFormat="1" ht="24.95" customHeight="1" x14ac:dyDescent="0.2">
      <c r="B183" s="34"/>
      <c r="C183" s="9"/>
      <c r="XEO183"/>
      <c r="XEP183"/>
      <c r="XEQ183"/>
      <c r="XER183"/>
      <c r="XES183"/>
      <c r="XET183"/>
      <c r="XEU183"/>
      <c r="XEV183"/>
      <c r="XEW183"/>
      <c r="XEX183"/>
      <c r="XEY183"/>
      <c r="XEZ183"/>
      <c r="XFA183"/>
      <c r="XFB183"/>
      <c r="XFC183"/>
      <c r="XFD183"/>
    </row>
    <row r="184" spans="2:3 16369:16384" s="10" customFormat="1" ht="24.95" customHeight="1" x14ac:dyDescent="0.2">
      <c r="B184" s="34"/>
      <c r="C184" s="9"/>
      <c r="XEO184"/>
      <c r="XEP184"/>
      <c r="XEQ184"/>
      <c r="XER184"/>
      <c r="XES184"/>
      <c r="XET184"/>
      <c r="XEU184"/>
      <c r="XEV184"/>
      <c r="XEW184"/>
      <c r="XEX184"/>
      <c r="XEY184"/>
      <c r="XEZ184"/>
      <c r="XFA184"/>
      <c r="XFB184"/>
      <c r="XFC184"/>
      <c r="XFD184"/>
    </row>
    <row r="185" spans="2:3 16369:16384" s="10" customFormat="1" ht="24.95" customHeight="1" x14ac:dyDescent="0.2">
      <c r="B185" s="34"/>
      <c r="C185" s="9"/>
      <c r="XEO185"/>
      <c r="XEP185"/>
      <c r="XEQ185"/>
      <c r="XER185"/>
      <c r="XES185"/>
      <c r="XET185"/>
      <c r="XEU185"/>
      <c r="XEV185"/>
      <c r="XEW185"/>
      <c r="XEX185"/>
      <c r="XEY185"/>
      <c r="XEZ185"/>
      <c r="XFA185"/>
      <c r="XFB185"/>
      <c r="XFC185"/>
      <c r="XFD185"/>
    </row>
    <row r="186" spans="2:3 16369:16384" s="10" customFormat="1" ht="24.95" customHeight="1" x14ac:dyDescent="0.2">
      <c r="B186" s="34"/>
      <c r="C186" s="9"/>
      <c r="XEO186"/>
      <c r="XEP186"/>
      <c r="XEQ186"/>
      <c r="XER186"/>
      <c r="XES186"/>
      <c r="XET186"/>
      <c r="XEU186"/>
      <c r="XEV186"/>
      <c r="XEW186"/>
      <c r="XEX186"/>
      <c r="XEY186"/>
      <c r="XEZ186"/>
      <c r="XFA186"/>
      <c r="XFB186"/>
      <c r="XFC186"/>
      <c r="XFD186"/>
    </row>
    <row r="187" spans="2:3 16369:16384" s="10" customFormat="1" ht="24.95" customHeight="1" x14ac:dyDescent="0.2">
      <c r="B187" s="34"/>
      <c r="C187" s="9"/>
      <c r="XEO187"/>
      <c r="XEP187"/>
      <c r="XEQ187"/>
      <c r="XER187"/>
      <c r="XES187"/>
      <c r="XET187"/>
      <c r="XEU187"/>
      <c r="XEV187"/>
      <c r="XEW187"/>
      <c r="XEX187"/>
      <c r="XEY187"/>
      <c r="XEZ187"/>
      <c r="XFA187"/>
      <c r="XFB187"/>
      <c r="XFC187"/>
      <c r="XFD187"/>
    </row>
    <row r="188" spans="2:3 16369:16384" s="10" customFormat="1" ht="24.95" customHeight="1" x14ac:dyDescent="0.2">
      <c r="B188" s="34"/>
      <c r="C188" s="9"/>
      <c r="XEO188"/>
      <c r="XEP188"/>
      <c r="XEQ188"/>
      <c r="XER188"/>
      <c r="XES188"/>
      <c r="XET188"/>
      <c r="XEU188"/>
      <c r="XEV188"/>
      <c r="XEW188"/>
      <c r="XEX188"/>
      <c r="XEY188"/>
      <c r="XEZ188"/>
      <c r="XFA188"/>
      <c r="XFB188"/>
      <c r="XFC188"/>
      <c r="XFD188"/>
    </row>
    <row r="189" spans="2:3 16369:16384" s="10" customFormat="1" ht="24.95" customHeight="1" x14ac:dyDescent="0.2">
      <c r="B189" s="34"/>
      <c r="C189" s="9"/>
      <c r="XEO189"/>
      <c r="XEP189"/>
      <c r="XEQ189"/>
      <c r="XER189"/>
      <c r="XES189"/>
      <c r="XET189"/>
      <c r="XEU189"/>
      <c r="XEV189"/>
      <c r="XEW189"/>
      <c r="XEX189"/>
      <c r="XEY189"/>
      <c r="XEZ189"/>
      <c r="XFA189"/>
      <c r="XFB189"/>
      <c r="XFC189"/>
      <c r="XFD189"/>
    </row>
    <row r="190" spans="2:3 16369:16384" s="10" customFormat="1" ht="24.95" customHeight="1" x14ac:dyDescent="0.2">
      <c r="B190" s="34"/>
      <c r="C190" s="9"/>
      <c r="XEO190"/>
      <c r="XEP190"/>
      <c r="XEQ190"/>
      <c r="XER190"/>
      <c r="XES190"/>
      <c r="XET190"/>
      <c r="XEU190"/>
      <c r="XEV190"/>
      <c r="XEW190"/>
      <c r="XEX190"/>
      <c r="XEY190"/>
      <c r="XEZ190"/>
      <c r="XFA190"/>
      <c r="XFB190"/>
      <c r="XFC190"/>
      <c r="XFD190"/>
    </row>
    <row r="191" spans="2:3 16369:16384" s="10" customFormat="1" ht="24.95" customHeight="1" x14ac:dyDescent="0.2">
      <c r="B191" s="34"/>
      <c r="C191" s="9"/>
      <c r="XEO191"/>
      <c r="XEP191"/>
      <c r="XEQ191"/>
      <c r="XER191"/>
      <c r="XES191"/>
      <c r="XET191"/>
      <c r="XEU191"/>
      <c r="XEV191"/>
      <c r="XEW191"/>
      <c r="XEX191"/>
      <c r="XEY191"/>
      <c r="XEZ191"/>
      <c r="XFA191"/>
      <c r="XFB191"/>
      <c r="XFC191"/>
      <c r="XFD191"/>
    </row>
    <row r="192" spans="2:3 16369:16384" s="10" customFormat="1" ht="24.95" customHeight="1" x14ac:dyDescent="0.2">
      <c r="B192" s="34"/>
      <c r="C192" s="9"/>
      <c r="XEO192"/>
      <c r="XEP192"/>
      <c r="XEQ192"/>
      <c r="XER192"/>
      <c r="XES192"/>
      <c r="XET192"/>
      <c r="XEU192"/>
      <c r="XEV192"/>
      <c r="XEW192"/>
      <c r="XEX192"/>
      <c r="XEY192"/>
      <c r="XEZ192"/>
      <c r="XFA192"/>
      <c r="XFB192"/>
      <c r="XFC192"/>
      <c r="XFD192"/>
    </row>
    <row r="193" spans="2:3 16369:16384" s="10" customFormat="1" ht="24.95" customHeight="1" x14ac:dyDescent="0.2">
      <c r="B193" s="34"/>
      <c r="C193" s="9"/>
      <c r="XEO193"/>
      <c r="XEP193"/>
      <c r="XEQ193"/>
      <c r="XER193"/>
      <c r="XES193"/>
      <c r="XET193"/>
      <c r="XEU193"/>
      <c r="XEV193"/>
      <c r="XEW193"/>
      <c r="XEX193"/>
      <c r="XEY193"/>
      <c r="XEZ193"/>
      <c r="XFA193"/>
      <c r="XFB193"/>
      <c r="XFC193"/>
      <c r="XFD193"/>
    </row>
    <row r="194" spans="2:3 16369:16384" s="10" customFormat="1" ht="24.95" customHeight="1" x14ac:dyDescent="0.2">
      <c r="B194" s="34"/>
      <c r="C194" s="9"/>
      <c r="XEO194"/>
      <c r="XEP194"/>
      <c r="XEQ194"/>
      <c r="XER194"/>
      <c r="XES194"/>
      <c r="XET194"/>
      <c r="XEU194"/>
      <c r="XEV194"/>
      <c r="XEW194"/>
      <c r="XEX194"/>
      <c r="XEY194"/>
      <c r="XEZ194"/>
      <c r="XFA194"/>
      <c r="XFB194"/>
      <c r="XFC194"/>
      <c r="XFD194"/>
    </row>
    <row r="195" spans="2:3 16369:16384" s="10" customFormat="1" ht="24.95" customHeight="1" x14ac:dyDescent="0.2">
      <c r="B195" s="34"/>
      <c r="C195" s="9"/>
      <c r="XEO195"/>
      <c r="XEP195"/>
      <c r="XEQ195"/>
      <c r="XER195"/>
      <c r="XES195"/>
      <c r="XET195"/>
      <c r="XEU195"/>
      <c r="XEV195"/>
      <c r="XEW195"/>
      <c r="XEX195"/>
      <c r="XEY195"/>
      <c r="XEZ195"/>
      <c r="XFA195"/>
      <c r="XFB195"/>
      <c r="XFC195"/>
      <c r="XFD195"/>
    </row>
    <row r="196" spans="2:3 16369:16384" s="10" customFormat="1" ht="24.95" customHeight="1" x14ac:dyDescent="0.2">
      <c r="B196" s="34"/>
      <c r="C196" s="9"/>
      <c r="XEO196"/>
      <c r="XEP196"/>
      <c r="XEQ196"/>
      <c r="XER196"/>
      <c r="XES196"/>
      <c r="XET196"/>
      <c r="XEU196"/>
      <c r="XEV196"/>
      <c r="XEW196"/>
      <c r="XEX196"/>
      <c r="XEY196"/>
      <c r="XEZ196"/>
      <c r="XFA196"/>
      <c r="XFB196"/>
      <c r="XFC196"/>
      <c r="XFD196"/>
    </row>
    <row r="197" spans="2:3 16369:16384" s="10" customFormat="1" ht="24.95" customHeight="1" x14ac:dyDescent="0.2">
      <c r="B197" s="34"/>
      <c r="C197" s="9"/>
      <c r="XEO197"/>
      <c r="XEP197"/>
      <c r="XEQ197"/>
      <c r="XER197"/>
      <c r="XES197"/>
      <c r="XET197"/>
      <c r="XEU197"/>
      <c r="XEV197"/>
      <c r="XEW197"/>
      <c r="XEX197"/>
      <c r="XEY197"/>
      <c r="XEZ197"/>
      <c r="XFA197"/>
      <c r="XFB197"/>
      <c r="XFC197"/>
      <c r="XFD197"/>
    </row>
    <row r="198" spans="2:3 16369:16384" s="10" customFormat="1" ht="24.95" customHeight="1" x14ac:dyDescent="0.2">
      <c r="B198" s="34"/>
      <c r="C198" s="9"/>
      <c r="XEO198"/>
      <c r="XEP198"/>
      <c r="XEQ198"/>
      <c r="XER198"/>
      <c r="XES198"/>
      <c r="XET198"/>
      <c r="XEU198"/>
      <c r="XEV198"/>
      <c r="XEW198"/>
      <c r="XEX198"/>
      <c r="XEY198"/>
      <c r="XEZ198"/>
      <c r="XFA198"/>
      <c r="XFB198"/>
      <c r="XFC198"/>
      <c r="XFD198"/>
    </row>
    <row r="199" spans="2:3 16369:16384" s="10" customFormat="1" ht="24.95" customHeight="1" x14ac:dyDescent="0.2">
      <c r="B199" s="34"/>
      <c r="C199" s="9"/>
      <c r="XEO199"/>
      <c r="XEP199"/>
      <c r="XEQ199"/>
      <c r="XER199"/>
      <c r="XES199"/>
      <c r="XET199"/>
      <c r="XEU199"/>
      <c r="XEV199"/>
      <c r="XEW199"/>
      <c r="XEX199"/>
      <c r="XEY199"/>
      <c r="XEZ199"/>
      <c r="XFA199"/>
      <c r="XFB199"/>
      <c r="XFC199"/>
      <c r="XFD199"/>
    </row>
    <row r="200" spans="2:3 16369:16384" s="10" customFormat="1" ht="24.95" customHeight="1" x14ac:dyDescent="0.2">
      <c r="B200" s="34"/>
      <c r="C200" s="9"/>
      <c r="XEO200"/>
      <c r="XEP200"/>
      <c r="XEQ200"/>
      <c r="XER200"/>
      <c r="XES200"/>
      <c r="XET200"/>
      <c r="XEU200"/>
      <c r="XEV200"/>
      <c r="XEW200"/>
      <c r="XEX200"/>
      <c r="XEY200"/>
      <c r="XEZ200"/>
      <c r="XFA200"/>
      <c r="XFB200"/>
      <c r="XFC200"/>
      <c r="XFD200"/>
    </row>
    <row r="201" spans="2:3 16369:16384" s="10" customFormat="1" ht="24.95" customHeight="1" x14ac:dyDescent="0.2">
      <c r="B201" s="34"/>
      <c r="C201" s="9"/>
      <c r="XEO201"/>
      <c r="XEP201"/>
      <c r="XEQ201"/>
      <c r="XER201"/>
      <c r="XES201"/>
      <c r="XET201"/>
      <c r="XEU201"/>
      <c r="XEV201"/>
      <c r="XEW201"/>
      <c r="XEX201"/>
      <c r="XEY201"/>
      <c r="XEZ201"/>
      <c r="XFA201"/>
      <c r="XFB201"/>
      <c r="XFC201"/>
      <c r="XFD201"/>
    </row>
    <row r="202" spans="2:3 16369:16384" s="10" customFormat="1" ht="24.95" customHeight="1" x14ac:dyDescent="0.2">
      <c r="B202" s="34"/>
      <c r="C202" s="9"/>
      <c r="XEO202"/>
      <c r="XEP202"/>
      <c r="XEQ202"/>
      <c r="XER202"/>
      <c r="XES202"/>
      <c r="XET202"/>
      <c r="XEU202"/>
      <c r="XEV202"/>
      <c r="XEW202"/>
      <c r="XEX202"/>
      <c r="XEY202"/>
      <c r="XEZ202"/>
      <c r="XFA202"/>
      <c r="XFB202"/>
      <c r="XFC202"/>
      <c r="XFD202"/>
    </row>
    <row r="203" spans="2:3 16369:16384" s="10" customFormat="1" ht="24.95" customHeight="1" x14ac:dyDescent="0.2">
      <c r="B203" s="34"/>
      <c r="C203" s="9"/>
      <c r="XEO203"/>
      <c r="XEP203"/>
      <c r="XEQ203"/>
      <c r="XER203"/>
      <c r="XES203"/>
      <c r="XET203"/>
      <c r="XEU203"/>
      <c r="XEV203"/>
      <c r="XEW203"/>
      <c r="XEX203"/>
      <c r="XEY203"/>
      <c r="XEZ203"/>
      <c r="XFA203"/>
      <c r="XFB203"/>
      <c r="XFC203"/>
      <c r="XFD203"/>
    </row>
    <row r="204" spans="2:3 16369:16384" s="10" customFormat="1" ht="24.95" customHeight="1" x14ac:dyDescent="0.2">
      <c r="B204" s="34"/>
      <c r="C204" s="9"/>
      <c r="XEO204"/>
      <c r="XEP204"/>
      <c r="XEQ204"/>
      <c r="XER204"/>
      <c r="XES204"/>
      <c r="XET204"/>
      <c r="XEU204"/>
      <c r="XEV204"/>
      <c r="XEW204"/>
      <c r="XEX204"/>
      <c r="XEY204"/>
      <c r="XEZ204"/>
      <c r="XFA204"/>
      <c r="XFB204"/>
      <c r="XFC204"/>
      <c r="XFD204"/>
    </row>
    <row r="205" spans="2:3 16369:16384" s="10" customFormat="1" ht="24.95" customHeight="1" x14ac:dyDescent="0.2">
      <c r="B205" s="34"/>
      <c r="C205" s="9"/>
      <c r="XEO205"/>
      <c r="XEP205"/>
      <c r="XEQ205"/>
      <c r="XER205"/>
      <c r="XES205"/>
      <c r="XET205"/>
      <c r="XEU205"/>
      <c r="XEV205"/>
      <c r="XEW205"/>
      <c r="XEX205"/>
      <c r="XEY205"/>
      <c r="XEZ205"/>
      <c r="XFA205"/>
      <c r="XFB205"/>
      <c r="XFC205"/>
      <c r="XFD205"/>
    </row>
    <row r="206" spans="2:3 16369:16384" s="10" customFormat="1" ht="24.95" customHeight="1" x14ac:dyDescent="0.2">
      <c r="B206" s="34"/>
      <c r="C206" s="9"/>
      <c r="XEO206"/>
      <c r="XEP206"/>
      <c r="XEQ206"/>
      <c r="XER206"/>
      <c r="XES206"/>
      <c r="XET206"/>
      <c r="XEU206"/>
      <c r="XEV206"/>
      <c r="XEW206"/>
      <c r="XEX206"/>
      <c r="XEY206"/>
      <c r="XEZ206"/>
      <c r="XFA206"/>
      <c r="XFB206"/>
      <c r="XFC206"/>
      <c r="XFD206"/>
    </row>
    <row r="207" spans="2:3 16369:16384" s="10" customFormat="1" ht="24.95" customHeight="1" x14ac:dyDescent="0.2">
      <c r="B207" s="34"/>
      <c r="C207" s="9"/>
      <c r="XEO207"/>
      <c r="XEP207"/>
      <c r="XEQ207"/>
      <c r="XER207"/>
      <c r="XES207"/>
      <c r="XET207"/>
      <c r="XEU207"/>
      <c r="XEV207"/>
      <c r="XEW207"/>
      <c r="XEX207"/>
      <c r="XEY207"/>
      <c r="XEZ207"/>
      <c r="XFA207"/>
      <c r="XFB207"/>
      <c r="XFC207"/>
      <c r="XFD207"/>
    </row>
    <row r="208" spans="2:3 16369:16384" s="10" customFormat="1" ht="24.95" customHeight="1" x14ac:dyDescent="0.2">
      <c r="B208" s="34"/>
      <c r="C208" s="9"/>
      <c r="XEO208"/>
      <c r="XEP208"/>
      <c r="XEQ208"/>
      <c r="XER208"/>
      <c r="XES208"/>
      <c r="XET208"/>
      <c r="XEU208"/>
      <c r="XEV208"/>
      <c r="XEW208"/>
      <c r="XEX208"/>
      <c r="XEY208"/>
      <c r="XEZ208"/>
      <c r="XFA208"/>
      <c r="XFB208"/>
      <c r="XFC208"/>
      <c r="XFD208"/>
    </row>
    <row r="209" spans="2:3 16369:16384" s="10" customFormat="1" ht="24.95" customHeight="1" x14ac:dyDescent="0.2">
      <c r="B209" s="34"/>
      <c r="C209" s="9"/>
      <c r="XEO209"/>
      <c r="XEP209"/>
      <c r="XEQ209"/>
      <c r="XER209"/>
      <c r="XES209"/>
      <c r="XET209"/>
      <c r="XEU209"/>
      <c r="XEV209"/>
      <c r="XEW209"/>
      <c r="XEX209"/>
      <c r="XEY209"/>
      <c r="XEZ209"/>
      <c r="XFA209"/>
      <c r="XFB209"/>
      <c r="XFC209"/>
      <c r="XFD209"/>
    </row>
    <row r="210" spans="2:3 16369:16384" s="10" customFormat="1" ht="24.95" customHeight="1" x14ac:dyDescent="0.2">
      <c r="B210" s="34"/>
      <c r="C210" s="9"/>
      <c r="XEO210"/>
      <c r="XEP210"/>
      <c r="XEQ210"/>
      <c r="XER210"/>
      <c r="XES210"/>
      <c r="XET210"/>
      <c r="XEU210"/>
      <c r="XEV210"/>
      <c r="XEW210"/>
      <c r="XEX210"/>
      <c r="XEY210"/>
      <c r="XEZ210"/>
      <c r="XFA210"/>
      <c r="XFB210"/>
      <c r="XFC210"/>
      <c r="XFD210"/>
    </row>
    <row r="211" spans="2:3 16369:16384" s="10" customFormat="1" ht="24.95" customHeight="1" x14ac:dyDescent="0.2">
      <c r="B211" s="34"/>
      <c r="C211" s="9"/>
      <c r="XEO211"/>
      <c r="XEP211"/>
      <c r="XEQ211"/>
      <c r="XER211"/>
      <c r="XES211"/>
      <c r="XET211"/>
      <c r="XEU211"/>
      <c r="XEV211"/>
      <c r="XEW211"/>
      <c r="XEX211"/>
      <c r="XEY211"/>
      <c r="XEZ211"/>
      <c r="XFA211"/>
      <c r="XFB211"/>
      <c r="XFC211"/>
      <c r="XFD211"/>
    </row>
    <row r="212" spans="2:3 16369:16384" s="10" customFormat="1" ht="24.95" customHeight="1" x14ac:dyDescent="0.2">
      <c r="B212" s="34"/>
      <c r="C212" s="9"/>
      <c r="XEO212"/>
      <c r="XEP212"/>
      <c r="XEQ212"/>
      <c r="XER212"/>
      <c r="XES212"/>
      <c r="XET212"/>
      <c r="XEU212"/>
      <c r="XEV212"/>
      <c r="XEW212"/>
      <c r="XEX212"/>
      <c r="XEY212"/>
      <c r="XEZ212"/>
      <c r="XFA212"/>
      <c r="XFB212"/>
      <c r="XFC212"/>
      <c r="XFD212"/>
    </row>
    <row r="213" spans="2:3 16369:16384" s="10" customFormat="1" ht="24.95" customHeight="1" x14ac:dyDescent="0.2">
      <c r="B213" s="34"/>
      <c r="C213" s="9"/>
      <c r="XEO213"/>
      <c r="XEP213"/>
      <c r="XEQ213"/>
      <c r="XER213"/>
      <c r="XES213"/>
      <c r="XET213"/>
      <c r="XEU213"/>
      <c r="XEV213"/>
      <c r="XEW213"/>
      <c r="XEX213"/>
      <c r="XEY213"/>
      <c r="XEZ213"/>
      <c r="XFA213"/>
      <c r="XFB213"/>
      <c r="XFC213"/>
      <c r="XFD213"/>
    </row>
    <row r="214" spans="2:3 16369:16384" s="10" customFormat="1" ht="24.95" customHeight="1" x14ac:dyDescent="0.2">
      <c r="B214" s="34"/>
      <c r="C214" s="9"/>
      <c r="XEO214"/>
      <c r="XEP214"/>
      <c r="XEQ214"/>
      <c r="XER214"/>
      <c r="XES214"/>
      <c r="XET214"/>
      <c r="XEU214"/>
      <c r="XEV214"/>
      <c r="XEW214"/>
      <c r="XEX214"/>
      <c r="XEY214"/>
      <c r="XEZ214"/>
      <c r="XFA214"/>
      <c r="XFB214"/>
      <c r="XFC214"/>
      <c r="XFD214"/>
    </row>
    <row r="215" spans="2:3 16369:16384" s="10" customFormat="1" ht="24.95" customHeight="1" x14ac:dyDescent="0.2">
      <c r="B215" s="34"/>
      <c r="C215" s="9"/>
      <c r="XEO215"/>
      <c r="XEP215"/>
      <c r="XEQ215"/>
      <c r="XER215"/>
      <c r="XES215"/>
      <c r="XET215"/>
      <c r="XEU215"/>
      <c r="XEV215"/>
      <c r="XEW215"/>
      <c r="XEX215"/>
      <c r="XEY215"/>
      <c r="XEZ215"/>
      <c r="XFA215"/>
      <c r="XFB215"/>
      <c r="XFC215"/>
      <c r="XFD215"/>
    </row>
    <row r="216" spans="2:3 16369:16384" s="10" customFormat="1" ht="24.95" customHeight="1" x14ac:dyDescent="0.2">
      <c r="B216" s="34"/>
      <c r="C216" s="9"/>
      <c r="XEO216"/>
      <c r="XEP216"/>
      <c r="XEQ216"/>
      <c r="XER216"/>
      <c r="XES216"/>
      <c r="XET216"/>
      <c r="XEU216"/>
      <c r="XEV216"/>
      <c r="XEW216"/>
      <c r="XEX216"/>
      <c r="XEY216"/>
      <c r="XEZ216"/>
      <c r="XFA216"/>
      <c r="XFB216"/>
      <c r="XFC216"/>
      <c r="XFD216"/>
    </row>
    <row r="217" spans="2:3 16369:16384" s="10" customFormat="1" ht="24.95" customHeight="1" x14ac:dyDescent="0.2">
      <c r="B217" s="34"/>
      <c r="C217" s="9"/>
      <c r="XEO217"/>
      <c r="XEP217"/>
      <c r="XEQ217"/>
      <c r="XER217"/>
      <c r="XES217"/>
      <c r="XET217"/>
      <c r="XEU217"/>
      <c r="XEV217"/>
      <c r="XEW217"/>
      <c r="XEX217"/>
      <c r="XEY217"/>
      <c r="XEZ217"/>
      <c r="XFA217"/>
      <c r="XFB217"/>
      <c r="XFC217"/>
      <c r="XFD217"/>
    </row>
    <row r="218" spans="2:3 16369:16384" s="10" customFormat="1" ht="24.95" customHeight="1" x14ac:dyDescent="0.2">
      <c r="B218" s="34"/>
      <c r="C218" s="9"/>
      <c r="XEO218"/>
      <c r="XEP218"/>
      <c r="XEQ218"/>
      <c r="XER218"/>
      <c r="XES218"/>
      <c r="XET218"/>
      <c r="XEU218"/>
      <c r="XEV218"/>
      <c r="XEW218"/>
      <c r="XEX218"/>
      <c r="XEY218"/>
      <c r="XEZ218"/>
      <c r="XFA218"/>
      <c r="XFB218"/>
      <c r="XFC218"/>
      <c r="XFD218"/>
    </row>
    <row r="219" spans="2:3 16369:16384" s="10" customFormat="1" ht="24.95" customHeight="1" x14ac:dyDescent="0.2">
      <c r="B219" s="34"/>
      <c r="C219" s="9"/>
      <c r="XEO219"/>
      <c r="XEP219"/>
      <c r="XEQ219"/>
      <c r="XER219"/>
      <c r="XES219"/>
      <c r="XET219"/>
      <c r="XEU219"/>
      <c r="XEV219"/>
      <c r="XEW219"/>
      <c r="XEX219"/>
      <c r="XEY219"/>
      <c r="XEZ219"/>
      <c r="XFA219"/>
      <c r="XFB219"/>
      <c r="XFC219"/>
      <c r="XFD219"/>
    </row>
    <row r="220" spans="2:3 16369:16384" s="10" customFormat="1" ht="24.95" customHeight="1" x14ac:dyDescent="0.2">
      <c r="B220" s="34"/>
      <c r="C220" s="9"/>
      <c r="XEO220"/>
      <c r="XEP220"/>
      <c r="XEQ220"/>
      <c r="XER220"/>
      <c r="XES220"/>
      <c r="XET220"/>
      <c r="XEU220"/>
      <c r="XEV220"/>
      <c r="XEW220"/>
      <c r="XEX220"/>
      <c r="XEY220"/>
      <c r="XEZ220"/>
      <c r="XFA220"/>
      <c r="XFB220"/>
      <c r="XFC220"/>
      <c r="XFD220"/>
    </row>
    <row r="221" spans="2:3 16369:16384" s="10" customFormat="1" ht="24.95" customHeight="1" x14ac:dyDescent="0.2">
      <c r="B221" s="34"/>
      <c r="C221" s="9"/>
      <c r="XEO221"/>
      <c r="XEP221"/>
      <c r="XEQ221"/>
      <c r="XER221"/>
      <c r="XES221"/>
      <c r="XET221"/>
      <c r="XEU221"/>
      <c r="XEV221"/>
      <c r="XEW221"/>
      <c r="XEX221"/>
      <c r="XEY221"/>
      <c r="XEZ221"/>
      <c r="XFA221"/>
      <c r="XFB221"/>
      <c r="XFC221"/>
      <c r="XFD221"/>
    </row>
    <row r="222" spans="2:3 16369:16384" s="10" customFormat="1" ht="24.95" customHeight="1" x14ac:dyDescent="0.2">
      <c r="B222" s="34"/>
      <c r="C222" s="9"/>
      <c r="XEO222"/>
      <c r="XEP222"/>
      <c r="XEQ222"/>
      <c r="XER222"/>
      <c r="XES222"/>
      <c r="XET222"/>
      <c r="XEU222"/>
      <c r="XEV222"/>
      <c r="XEW222"/>
      <c r="XEX222"/>
      <c r="XEY222"/>
      <c r="XEZ222"/>
      <c r="XFA222"/>
      <c r="XFB222"/>
      <c r="XFC222"/>
      <c r="XFD222"/>
    </row>
    <row r="223" spans="2:3 16369:16384" s="10" customFormat="1" ht="24.95" customHeight="1" x14ac:dyDescent="0.2">
      <c r="B223" s="34"/>
      <c r="C223" s="9"/>
      <c r="XEO223"/>
      <c r="XEP223"/>
      <c r="XEQ223"/>
      <c r="XER223"/>
      <c r="XES223"/>
      <c r="XET223"/>
      <c r="XEU223"/>
      <c r="XEV223"/>
      <c r="XEW223"/>
      <c r="XEX223"/>
      <c r="XEY223"/>
      <c r="XEZ223"/>
      <c r="XFA223"/>
      <c r="XFB223"/>
      <c r="XFC223"/>
      <c r="XFD223"/>
    </row>
    <row r="224" spans="2:3 16369:16384" s="10" customFormat="1" ht="24.95" customHeight="1" x14ac:dyDescent="0.2">
      <c r="B224" s="34"/>
      <c r="C224" s="9"/>
      <c r="XEO224"/>
      <c r="XEP224"/>
      <c r="XEQ224"/>
      <c r="XER224"/>
      <c r="XES224"/>
      <c r="XET224"/>
      <c r="XEU224"/>
      <c r="XEV224"/>
      <c r="XEW224"/>
      <c r="XEX224"/>
      <c r="XEY224"/>
      <c r="XEZ224"/>
      <c r="XFA224"/>
      <c r="XFB224"/>
      <c r="XFC224"/>
      <c r="XFD224"/>
    </row>
    <row r="225" spans="2:3 16369:16384" s="10" customFormat="1" ht="24.95" customHeight="1" x14ac:dyDescent="0.2">
      <c r="B225" s="34"/>
      <c r="C225" s="9"/>
      <c r="XEO225"/>
      <c r="XEP225"/>
      <c r="XEQ225"/>
      <c r="XER225"/>
      <c r="XES225"/>
      <c r="XET225"/>
      <c r="XEU225"/>
      <c r="XEV225"/>
      <c r="XEW225"/>
      <c r="XEX225"/>
      <c r="XEY225"/>
      <c r="XEZ225"/>
      <c r="XFA225"/>
      <c r="XFB225"/>
      <c r="XFC225"/>
      <c r="XFD225"/>
    </row>
    <row r="226" spans="2:3 16369:16384" s="10" customFormat="1" ht="24.95" customHeight="1" x14ac:dyDescent="0.2">
      <c r="B226" s="34"/>
      <c r="C226" s="9"/>
      <c r="XEO226"/>
      <c r="XEP226"/>
      <c r="XEQ226"/>
      <c r="XER226"/>
      <c r="XES226"/>
      <c r="XET226"/>
      <c r="XEU226"/>
      <c r="XEV226"/>
      <c r="XEW226"/>
      <c r="XEX226"/>
      <c r="XEY226"/>
      <c r="XEZ226"/>
      <c r="XFA226"/>
      <c r="XFB226"/>
      <c r="XFC226"/>
      <c r="XFD226"/>
    </row>
    <row r="227" spans="2:3 16369:16384" s="10" customFormat="1" ht="24.95" customHeight="1" x14ac:dyDescent="0.2">
      <c r="B227" s="34"/>
      <c r="C227" s="9"/>
      <c r="XEO227"/>
      <c r="XEP227"/>
      <c r="XEQ227"/>
      <c r="XER227"/>
      <c r="XES227"/>
      <c r="XET227"/>
      <c r="XEU227"/>
      <c r="XEV227"/>
      <c r="XEW227"/>
      <c r="XEX227"/>
      <c r="XEY227"/>
      <c r="XEZ227"/>
      <c r="XFA227"/>
      <c r="XFB227"/>
      <c r="XFC227"/>
      <c r="XFD227"/>
    </row>
    <row r="228" spans="2:3 16369:16384" s="10" customFormat="1" ht="24.95" customHeight="1" x14ac:dyDescent="0.2">
      <c r="B228" s="34"/>
      <c r="C228" s="9"/>
      <c r="XEO228"/>
      <c r="XEP228"/>
      <c r="XEQ228"/>
      <c r="XER228"/>
      <c r="XES228"/>
      <c r="XET228"/>
      <c r="XEU228"/>
      <c r="XEV228"/>
      <c r="XEW228"/>
      <c r="XEX228"/>
      <c r="XEY228"/>
      <c r="XEZ228"/>
      <c r="XFA228"/>
      <c r="XFB228"/>
      <c r="XFC228"/>
      <c r="XFD228"/>
    </row>
    <row r="229" spans="2:3 16369:16384" s="10" customFormat="1" ht="24.95" customHeight="1" x14ac:dyDescent="0.2">
      <c r="B229" s="34"/>
      <c r="C229" s="9"/>
      <c r="XEO229"/>
      <c r="XEP229"/>
      <c r="XEQ229"/>
      <c r="XER229"/>
      <c r="XES229"/>
      <c r="XET229"/>
      <c r="XEU229"/>
      <c r="XEV229"/>
      <c r="XEW229"/>
      <c r="XEX229"/>
      <c r="XEY229"/>
      <c r="XEZ229"/>
      <c r="XFA229"/>
      <c r="XFB229"/>
      <c r="XFC229"/>
      <c r="XFD229"/>
    </row>
    <row r="230" spans="2:3 16369:16384" s="10" customFormat="1" ht="24.95" customHeight="1" x14ac:dyDescent="0.2">
      <c r="B230" s="34"/>
      <c r="C230" s="9"/>
      <c r="XEO230"/>
      <c r="XEP230"/>
      <c r="XEQ230"/>
      <c r="XER230"/>
      <c r="XES230"/>
      <c r="XET230"/>
      <c r="XEU230"/>
      <c r="XEV230"/>
      <c r="XEW230"/>
      <c r="XEX230"/>
      <c r="XEY230"/>
      <c r="XEZ230"/>
      <c r="XFA230"/>
      <c r="XFB230"/>
      <c r="XFC230"/>
      <c r="XFD230"/>
    </row>
    <row r="231" spans="2:3 16369:16384" s="10" customFormat="1" ht="24.95" customHeight="1" x14ac:dyDescent="0.2">
      <c r="B231" s="34"/>
      <c r="C231" s="9"/>
      <c r="XEO231"/>
      <c r="XEP231"/>
      <c r="XEQ231"/>
      <c r="XER231"/>
      <c r="XES231"/>
      <c r="XET231"/>
      <c r="XEU231"/>
      <c r="XEV231"/>
      <c r="XEW231"/>
      <c r="XEX231"/>
      <c r="XEY231"/>
      <c r="XEZ231"/>
      <c r="XFA231"/>
      <c r="XFB231"/>
      <c r="XFC231"/>
      <c r="XFD231"/>
    </row>
    <row r="232" spans="2:3 16369:16384" s="10" customFormat="1" ht="24.95" customHeight="1" x14ac:dyDescent="0.2">
      <c r="B232" s="34"/>
      <c r="C232" s="9"/>
      <c r="XEO232"/>
      <c r="XEP232"/>
      <c r="XEQ232"/>
      <c r="XER232"/>
      <c r="XES232"/>
      <c r="XET232"/>
      <c r="XEU232"/>
      <c r="XEV232"/>
      <c r="XEW232"/>
      <c r="XEX232"/>
      <c r="XEY232"/>
      <c r="XEZ232"/>
      <c r="XFA232"/>
      <c r="XFB232"/>
      <c r="XFC232"/>
      <c r="XFD232"/>
    </row>
    <row r="233" spans="2:3 16369:16384" s="10" customFormat="1" ht="24.95" customHeight="1" x14ac:dyDescent="0.2">
      <c r="B233" s="34"/>
      <c r="C233" s="9"/>
      <c r="XEO233"/>
      <c r="XEP233"/>
      <c r="XEQ233"/>
      <c r="XER233"/>
      <c r="XES233"/>
      <c r="XET233"/>
      <c r="XEU233"/>
      <c r="XEV233"/>
      <c r="XEW233"/>
      <c r="XEX233"/>
      <c r="XEY233"/>
      <c r="XEZ233"/>
      <c r="XFA233"/>
      <c r="XFB233"/>
      <c r="XFC233"/>
      <c r="XFD233"/>
    </row>
    <row r="234" spans="2:3 16369:16384" s="10" customFormat="1" ht="24.95" customHeight="1" x14ac:dyDescent="0.2">
      <c r="B234" s="34"/>
      <c r="C234" s="9"/>
      <c r="XEO234"/>
      <c r="XEP234"/>
      <c r="XEQ234"/>
      <c r="XER234"/>
      <c r="XES234"/>
      <c r="XET234"/>
      <c r="XEU234"/>
      <c r="XEV234"/>
      <c r="XEW234"/>
      <c r="XEX234"/>
      <c r="XEY234"/>
      <c r="XEZ234"/>
      <c r="XFA234"/>
      <c r="XFB234"/>
      <c r="XFC234"/>
      <c r="XFD234"/>
    </row>
    <row r="235" spans="2:3 16369:16384" s="10" customFormat="1" ht="24.95" customHeight="1" x14ac:dyDescent="0.2">
      <c r="B235" s="34"/>
      <c r="C235" s="9"/>
      <c r="XEO235"/>
      <c r="XEP235"/>
      <c r="XEQ235"/>
      <c r="XER235"/>
      <c r="XES235"/>
      <c r="XET235"/>
      <c r="XEU235"/>
      <c r="XEV235"/>
      <c r="XEW235"/>
      <c r="XEX235"/>
      <c r="XEY235"/>
      <c r="XEZ235"/>
      <c r="XFA235"/>
      <c r="XFB235"/>
      <c r="XFC235"/>
      <c r="XFD235"/>
    </row>
    <row r="236" spans="2:3 16369:16384" s="10" customFormat="1" ht="24.95" customHeight="1" x14ac:dyDescent="0.2">
      <c r="B236" s="34"/>
      <c r="C236" s="9"/>
      <c r="XEO236"/>
      <c r="XEP236"/>
      <c r="XEQ236"/>
      <c r="XER236"/>
      <c r="XES236"/>
      <c r="XET236"/>
      <c r="XEU236"/>
      <c r="XEV236"/>
      <c r="XEW236"/>
      <c r="XEX236"/>
      <c r="XEY236"/>
      <c r="XEZ236"/>
      <c r="XFA236"/>
      <c r="XFB236"/>
      <c r="XFC236"/>
      <c r="XFD236"/>
    </row>
    <row r="237" spans="2:3 16369:16384" s="10" customFormat="1" ht="24.95" customHeight="1" x14ac:dyDescent="0.2">
      <c r="B237" s="34"/>
      <c r="C237" s="9"/>
      <c r="XEO237"/>
      <c r="XEP237"/>
      <c r="XEQ237"/>
      <c r="XER237"/>
      <c r="XES237"/>
      <c r="XET237"/>
      <c r="XEU237"/>
      <c r="XEV237"/>
      <c r="XEW237"/>
      <c r="XEX237"/>
      <c r="XEY237"/>
      <c r="XEZ237"/>
      <c r="XFA237"/>
      <c r="XFB237"/>
      <c r="XFC237"/>
      <c r="XFD237"/>
    </row>
    <row r="238" spans="2:3 16369:16384" s="10" customFormat="1" ht="24.95" customHeight="1" x14ac:dyDescent="0.2">
      <c r="B238" s="34"/>
      <c r="C238" s="9"/>
      <c r="XEO238"/>
      <c r="XEP238"/>
      <c r="XEQ238"/>
      <c r="XER238"/>
      <c r="XES238"/>
      <c r="XET238"/>
      <c r="XEU238"/>
      <c r="XEV238"/>
      <c r="XEW238"/>
      <c r="XEX238"/>
      <c r="XEY238"/>
      <c r="XEZ238"/>
      <c r="XFA238"/>
      <c r="XFB238"/>
      <c r="XFC238"/>
      <c r="XFD238"/>
    </row>
    <row r="239" spans="2:3 16369:16384" s="10" customFormat="1" ht="24.95" customHeight="1" x14ac:dyDescent="0.2">
      <c r="B239" s="34"/>
      <c r="C239" s="9"/>
      <c r="XEO239"/>
      <c r="XEP239"/>
      <c r="XEQ239"/>
      <c r="XER239"/>
      <c r="XES239"/>
      <c r="XET239"/>
      <c r="XEU239"/>
      <c r="XEV239"/>
      <c r="XEW239"/>
      <c r="XEX239"/>
      <c r="XEY239"/>
      <c r="XEZ239"/>
      <c r="XFA239"/>
      <c r="XFB239"/>
      <c r="XFC239"/>
      <c r="XFD239"/>
    </row>
    <row r="240" spans="2:3 16369:16384" s="10" customFormat="1" ht="24.95" customHeight="1" x14ac:dyDescent="0.2">
      <c r="B240" s="34"/>
      <c r="C240" s="9"/>
      <c r="XEO240"/>
      <c r="XEP240"/>
      <c r="XEQ240"/>
      <c r="XER240"/>
      <c r="XES240"/>
      <c r="XET240"/>
      <c r="XEU240"/>
      <c r="XEV240"/>
      <c r="XEW240"/>
      <c r="XEX240"/>
      <c r="XEY240"/>
      <c r="XEZ240"/>
      <c r="XFA240"/>
      <c r="XFB240"/>
      <c r="XFC240"/>
      <c r="XFD240"/>
    </row>
    <row r="241" spans="2:3 16369:16384" s="10" customFormat="1" ht="24.95" customHeight="1" x14ac:dyDescent="0.2">
      <c r="B241" s="34"/>
      <c r="C241" s="9"/>
      <c r="XEO241"/>
      <c r="XEP241"/>
      <c r="XEQ241"/>
      <c r="XER241"/>
      <c r="XES241"/>
      <c r="XET241"/>
      <c r="XEU241"/>
      <c r="XEV241"/>
      <c r="XEW241"/>
      <c r="XEX241"/>
      <c r="XEY241"/>
      <c r="XEZ241"/>
      <c r="XFA241"/>
      <c r="XFB241"/>
      <c r="XFC241"/>
      <c r="XFD241"/>
    </row>
    <row r="242" spans="2:3 16369:16384" s="10" customFormat="1" ht="24.95" customHeight="1" x14ac:dyDescent="0.2">
      <c r="B242" s="34"/>
      <c r="C242" s="9"/>
      <c r="XEO242"/>
      <c r="XEP242"/>
      <c r="XEQ242"/>
      <c r="XER242"/>
      <c r="XES242"/>
      <c r="XET242"/>
      <c r="XEU242"/>
      <c r="XEV242"/>
      <c r="XEW242"/>
      <c r="XEX242"/>
      <c r="XEY242"/>
      <c r="XEZ242"/>
      <c r="XFA242"/>
      <c r="XFB242"/>
      <c r="XFC242"/>
      <c r="XFD242"/>
    </row>
    <row r="243" spans="2:3 16369:16384" s="10" customFormat="1" ht="24.95" customHeight="1" x14ac:dyDescent="0.2">
      <c r="B243" s="34"/>
      <c r="C243" s="9"/>
      <c r="XEO243"/>
      <c r="XEP243"/>
      <c r="XEQ243"/>
      <c r="XER243"/>
      <c r="XES243"/>
      <c r="XET243"/>
      <c r="XEU243"/>
      <c r="XEV243"/>
      <c r="XEW243"/>
      <c r="XEX243"/>
      <c r="XEY243"/>
      <c r="XEZ243"/>
      <c r="XFA243"/>
      <c r="XFB243"/>
      <c r="XFC243"/>
      <c r="XFD243"/>
    </row>
    <row r="244" spans="2:3 16369:16384" s="10" customFormat="1" ht="24.95" customHeight="1" x14ac:dyDescent="0.2">
      <c r="B244" s="34"/>
      <c r="C244" s="9"/>
      <c r="XEO244"/>
      <c r="XEP244"/>
      <c r="XEQ244"/>
      <c r="XER244"/>
      <c r="XES244"/>
      <c r="XET244"/>
      <c r="XEU244"/>
      <c r="XEV244"/>
      <c r="XEW244"/>
      <c r="XEX244"/>
      <c r="XEY244"/>
      <c r="XEZ244"/>
      <c r="XFA244"/>
      <c r="XFB244"/>
      <c r="XFC244"/>
      <c r="XFD244"/>
    </row>
    <row r="245" spans="2:3 16369:16384" s="10" customFormat="1" ht="24.95" customHeight="1" x14ac:dyDescent="0.2">
      <c r="B245" s="34"/>
      <c r="C245" s="9"/>
      <c r="XEO245"/>
      <c r="XEP245"/>
      <c r="XEQ245"/>
      <c r="XER245"/>
      <c r="XES245"/>
      <c r="XET245"/>
      <c r="XEU245"/>
      <c r="XEV245"/>
      <c r="XEW245"/>
      <c r="XEX245"/>
      <c r="XEY245"/>
      <c r="XEZ245"/>
      <c r="XFA245"/>
      <c r="XFB245"/>
      <c r="XFC245"/>
      <c r="XFD245"/>
    </row>
    <row r="246" spans="2:3 16369:16384" s="10" customFormat="1" ht="24.95" customHeight="1" x14ac:dyDescent="0.2">
      <c r="B246" s="34"/>
      <c r="C246" s="9"/>
      <c r="XEO246"/>
      <c r="XEP246"/>
      <c r="XEQ246"/>
      <c r="XER246"/>
      <c r="XES246"/>
      <c r="XET246"/>
      <c r="XEU246"/>
      <c r="XEV246"/>
      <c r="XEW246"/>
      <c r="XEX246"/>
      <c r="XEY246"/>
      <c r="XEZ246"/>
      <c r="XFA246"/>
      <c r="XFB246"/>
      <c r="XFC246"/>
      <c r="XFD246"/>
    </row>
    <row r="247" spans="2:3 16369:16384" s="10" customFormat="1" ht="24.95" customHeight="1" x14ac:dyDescent="0.2">
      <c r="B247" s="34"/>
      <c r="C247" s="9"/>
      <c r="XEO247"/>
      <c r="XEP247"/>
      <c r="XEQ247"/>
      <c r="XER247"/>
      <c r="XES247"/>
      <c r="XET247"/>
      <c r="XEU247"/>
      <c r="XEV247"/>
      <c r="XEW247"/>
      <c r="XEX247"/>
      <c r="XEY247"/>
      <c r="XEZ247"/>
      <c r="XFA247"/>
      <c r="XFB247"/>
      <c r="XFC247"/>
      <c r="XFD247"/>
    </row>
    <row r="248" spans="2:3 16369:16384" s="10" customFormat="1" ht="24.95" customHeight="1" x14ac:dyDescent="0.2">
      <c r="B248" s="34"/>
      <c r="C248" s="9"/>
      <c r="XEO248"/>
      <c r="XEP248"/>
      <c r="XEQ248"/>
      <c r="XER248"/>
      <c r="XES248"/>
      <c r="XET248"/>
      <c r="XEU248"/>
      <c r="XEV248"/>
      <c r="XEW248"/>
      <c r="XEX248"/>
      <c r="XEY248"/>
      <c r="XEZ248"/>
      <c r="XFA248"/>
      <c r="XFB248"/>
      <c r="XFC248"/>
      <c r="XFD248"/>
    </row>
    <row r="249" spans="2:3 16369:16384" s="10" customFormat="1" ht="24.95" customHeight="1" x14ac:dyDescent="0.2">
      <c r="B249" s="34"/>
      <c r="C249" s="9"/>
      <c r="XEO249"/>
      <c r="XEP249"/>
      <c r="XEQ249"/>
      <c r="XER249"/>
      <c r="XES249"/>
      <c r="XET249"/>
      <c r="XEU249"/>
      <c r="XEV249"/>
      <c r="XEW249"/>
      <c r="XEX249"/>
      <c r="XEY249"/>
      <c r="XEZ249"/>
      <c r="XFA249"/>
      <c r="XFB249"/>
      <c r="XFC249"/>
      <c r="XFD249"/>
    </row>
    <row r="250" spans="2:3 16369:16384" s="10" customFormat="1" ht="24.95" customHeight="1" x14ac:dyDescent="0.2">
      <c r="B250" s="34"/>
      <c r="C250" s="9"/>
      <c r="XEO250"/>
      <c r="XEP250"/>
      <c r="XEQ250"/>
      <c r="XER250"/>
      <c r="XES250"/>
      <c r="XET250"/>
      <c r="XEU250"/>
      <c r="XEV250"/>
      <c r="XEW250"/>
      <c r="XEX250"/>
      <c r="XEY250"/>
      <c r="XEZ250"/>
      <c r="XFA250"/>
      <c r="XFB250"/>
      <c r="XFC250"/>
      <c r="XFD250"/>
    </row>
    <row r="251" spans="2:3 16369:16384" s="10" customFormat="1" ht="24.95" customHeight="1" x14ac:dyDescent="0.2">
      <c r="B251" s="34"/>
      <c r="C251" s="9"/>
      <c r="XEO251"/>
      <c r="XEP251"/>
      <c r="XEQ251"/>
      <c r="XER251"/>
      <c r="XES251"/>
      <c r="XET251"/>
      <c r="XEU251"/>
      <c r="XEV251"/>
      <c r="XEW251"/>
      <c r="XEX251"/>
      <c r="XEY251"/>
      <c r="XEZ251"/>
      <c r="XFA251"/>
      <c r="XFB251"/>
      <c r="XFC251"/>
      <c r="XFD251"/>
    </row>
    <row r="252" spans="2:3 16369:16384" s="10" customFormat="1" ht="24.95" customHeight="1" x14ac:dyDescent="0.2">
      <c r="B252" s="34"/>
      <c r="C252" s="9"/>
      <c r="XEO252"/>
      <c r="XEP252"/>
      <c r="XEQ252"/>
      <c r="XER252"/>
      <c r="XES252"/>
      <c r="XET252"/>
      <c r="XEU252"/>
      <c r="XEV252"/>
      <c r="XEW252"/>
      <c r="XEX252"/>
      <c r="XEY252"/>
      <c r="XEZ252"/>
      <c r="XFA252"/>
      <c r="XFB252"/>
      <c r="XFC252"/>
      <c r="XFD252"/>
    </row>
    <row r="253" spans="2:3 16369:16384" s="10" customFormat="1" ht="24.95" customHeight="1" x14ac:dyDescent="0.2">
      <c r="B253" s="34"/>
      <c r="C253" s="9"/>
      <c r="XEO253"/>
      <c r="XEP253"/>
      <c r="XEQ253"/>
      <c r="XER253"/>
      <c r="XES253"/>
      <c r="XET253"/>
      <c r="XEU253"/>
      <c r="XEV253"/>
      <c r="XEW253"/>
      <c r="XEX253"/>
      <c r="XEY253"/>
      <c r="XEZ253"/>
      <c r="XFA253"/>
      <c r="XFB253"/>
      <c r="XFC253"/>
      <c r="XFD253"/>
    </row>
    <row r="254" spans="2:3 16369:16384" s="10" customFormat="1" ht="24.95" customHeight="1" x14ac:dyDescent="0.2">
      <c r="B254" s="34"/>
      <c r="C254" s="9"/>
      <c r="XEO254"/>
      <c r="XEP254"/>
      <c r="XEQ254"/>
      <c r="XER254"/>
      <c r="XES254"/>
      <c r="XET254"/>
      <c r="XEU254"/>
      <c r="XEV254"/>
      <c r="XEW254"/>
      <c r="XEX254"/>
      <c r="XEY254"/>
      <c r="XEZ254"/>
      <c r="XFA254"/>
      <c r="XFB254"/>
      <c r="XFC254"/>
      <c r="XFD254"/>
    </row>
    <row r="255" spans="2:3 16369:16384" s="10" customFormat="1" ht="24.95" customHeight="1" x14ac:dyDescent="0.2">
      <c r="B255" s="34"/>
      <c r="C255" s="9"/>
      <c r="XEO255"/>
      <c r="XEP255"/>
      <c r="XEQ255"/>
      <c r="XER255"/>
      <c r="XES255"/>
      <c r="XET255"/>
      <c r="XEU255"/>
      <c r="XEV255"/>
      <c r="XEW255"/>
      <c r="XEX255"/>
      <c r="XEY255"/>
      <c r="XEZ255"/>
      <c r="XFA255"/>
      <c r="XFB255"/>
      <c r="XFC255"/>
      <c r="XFD255"/>
    </row>
    <row r="256" spans="2:3 16369:16384" s="10" customFormat="1" ht="24.95" customHeight="1" x14ac:dyDescent="0.2">
      <c r="B256" s="34"/>
      <c r="C256" s="9"/>
      <c r="XEO256"/>
      <c r="XEP256"/>
      <c r="XEQ256"/>
      <c r="XER256"/>
      <c r="XES256"/>
      <c r="XET256"/>
      <c r="XEU256"/>
      <c r="XEV256"/>
      <c r="XEW256"/>
      <c r="XEX256"/>
      <c r="XEY256"/>
      <c r="XEZ256"/>
      <c r="XFA256"/>
      <c r="XFB256"/>
      <c r="XFC256"/>
      <c r="XFD256"/>
    </row>
    <row r="257" spans="2:3 16369:16384" s="10" customFormat="1" ht="24.95" customHeight="1" x14ac:dyDescent="0.2">
      <c r="B257" s="34"/>
      <c r="C257" s="9"/>
      <c r="XEO257"/>
      <c r="XEP257"/>
      <c r="XEQ257"/>
      <c r="XER257"/>
      <c r="XES257"/>
      <c r="XET257"/>
      <c r="XEU257"/>
      <c r="XEV257"/>
      <c r="XEW257"/>
      <c r="XEX257"/>
      <c r="XEY257"/>
      <c r="XEZ257"/>
      <c r="XFA257"/>
      <c r="XFB257"/>
      <c r="XFC257"/>
      <c r="XFD257"/>
    </row>
    <row r="258" spans="2:3 16369:16384" s="10" customFormat="1" ht="24.95" customHeight="1" x14ac:dyDescent="0.2">
      <c r="B258" s="34"/>
      <c r="C258" s="9"/>
      <c r="XEO258"/>
      <c r="XEP258"/>
      <c r="XEQ258"/>
      <c r="XER258"/>
      <c r="XES258"/>
      <c r="XET258"/>
      <c r="XEU258"/>
      <c r="XEV258"/>
      <c r="XEW258"/>
      <c r="XEX258"/>
      <c r="XEY258"/>
      <c r="XEZ258"/>
      <c r="XFA258"/>
      <c r="XFB258"/>
      <c r="XFC258"/>
      <c r="XFD258"/>
    </row>
    <row r="259" spans="2:3 16369:16384" s="10" customFormat="1" ht="24.95" customHeight="1" x14ac:dyDescent="0.2">
      <c r="B259" s="34"/>
      <c r="C259" s="9"/>
      <c r="XEO259"/>
      <c r="XEP259"/>
      <c r="XEQ259"/>
      <c r="XER259"/>
      <c r="XES259"/>
      <c r="XET259"/>
      <c r="XEU259"/>
      <c r="XEV259"/>
      <c r="XEW259"/>
      <c r="XEX259"/>
      <c r="XEY259"/>
      <c r="XEZ259"/>
      <c r="XFA259"/>
      <c r="XFB259"/>
      <c r="XFC259"/>
      <c r="XFD259"/>
    </row>
    <row r="260" spans="2:3 16369:16384" s="10" customFormat="1" ht="24.95" customHeight="1" x14ac:dyDescent="0.2">
      <c r="B260" s="34"/>
      <c r="C260" s="9"/>
      <c r="XEO260"/>
      <c r="XEP260"/>
      <c r="XEQ260"/>
      <c r="XER260"/>
      <c r="XES260"/>
      <c r="XET260"/>
      <c r="XEU260"/>
      <c r="XEV260"/>
      <c r="XEW260"/>
      <c r="XEX260"/>
      <c r="XEY260"/>
      <c r="XEZ260"/>
      <c r="XFA260"/>
      <c r="XFB260"/>
      <c r="XFC260"/>
      <c r="XFD260"/>
    </row>
    <row r="261" spans="2:3 16369:16384" s="10" customFormat="1" ht="24.95" customHeight="1" x14ac:dyDescent="0.2">
      <c r="B261" s="34"/>
      <c r="C261" s="9"/>
      <c r="XEO261"/>
      <c r="XEP261"/>
      <c r="XEQ261"/>
      <c r="XER261"/>
      <c r="XES261"/>
      <c r="XET261"/>
      <c r="XEU261"/>
      <c r="XEV261"/>
      <c r="XEW261"/>
      <c r="XEX261"/>
      <c r="XEY261"/>
      <c r="XEZ261"/>
      <c r="XFA261"/>
      <c r="XFB261"/>
      <c r="XFC261"/>
      <c r="XFD261"/>
    </row>
    <row r="262" spans="2:3 16369:16384" s="10" customFormat="1" ht="24.95" customHeight="1" x14ac:dyDescent="0.2">
      <c r="B262" s="34"/>
      <c r="C262" s="9"/>
      <c r="XEO262"/>
      <c r="XEP262"/>
      <c r="XEQ262"/>
      <c r="XER262"/>
      <c r="XES262"/>
      <c r="XET262"/>
      <c r="XEU262"/>
      <c r="XEV262"/>
      <c r="XEW262"/>
      <c r="XEX262"/>
      <c r="XEY262"/>
      <c r="XEZ262"/>
      <c r="XFA262"/>
      <c r="XFB262"/>
      <c r="XFC262"/>
      <c r="XFD262"/>
    </row>
    <row r="263" spans="2:3 16369:16384" s="10" customFormat="1" ht="24.95" customHeight="1" x14ac:dyDescent="0.2">
      <c r="B263" s="34"/>
      <c r="C263" s="9"/>
      <c r="XEO263"/>
      <c r="XEP263"/>
      <c r="XEQ263"/>
      <c r="XER263"/>
      <c r="XES263"/>
      <c r="XET263"/>
      <c r="XEU263"/>
      <c r="XEV263"/>
      <c r="XEW263"/>
      <c r="XEX263"/>
      <c r="XEY263"/>
      <c r="XEZ263"/>
      <c r="XFA263"/>
      <c r="XFB263"/>
      <c r="XFC263"/>
      <c r="XFD263"/>
    </row>
    <row r="264" spans="2:3 16369:16384" s="10" customFormat="1" ht="24.95" customHeight="1" x14ac:dyDescent="0.2">
      <c r="B264" s="34"/>
      <c r="C264" s="9"/>
      <c r="XEO264"/>
      <c r="XEP264"/>
      <c r="XEQ264"/>
      <c r="XER264"/>
      <c r="XES264"/>
      <c r="XET264"/>
      <c r="XEU264"/>
      <c r="XEV264"/>
      <c r="XEW264"/>
      <c r="XEX264"/>
      <c r="XEY264"/>
      <c r="XEZ264"/>
      <c r="XFA264"/>
      <c r="XFB264"/>
      <c r="XFC264"/>
      <c r="XFD264"/>
    </row>
    <row r="265" spans="2:3 16369:16384" s="10" customFormat="1" ht="24.95" customHeight="1" x14ac:dyDescent="0.2">
      <c r="B265" s="34"/>
      <c r="C265" s="9"/>
      <c r="XEO265"/>
      <c r="XEP265"/>
      <c r="XEQ265"/>
      <c r="XER265"/>
      <c r="XES265"/>
      <c r="XET265"/>
      <c r="XEU265"/>
      <c r="XEV265"/>
      <c r="XEW265"/>
      <c r="XEX265"/>
      <c r="XEY265"/>
      <c r="XEZ265"/>
      <c r="XFA265"/>
      <c r="XFB265"/>
      <c r="XFC265"/>
      <c r="XFD265"/>
    </row>
    <row r="266" spans="2:3 16369:16384" s="10" customFormat="1" ht="24.95" customHeight="1" x14ac:dyDescent="0.2">
      <c r="B266" s="34"/>
      <c r="C266" s="9"/>
      <c r="XEO266"/>
      <c r="XEP266"/>
      <c r="XEQ266"/>
      <c r="XER266"/>
      <c r="XES266"/>
      <c r="XET266"/>
      <c r="XEU266"/>
      <c r="XEV266"/>
      <c r="XEW266"/>
      <c r="XEX266"/>
      <c r="XEY266"/>
      <c r="XEZ266"/>
      <c r="XFA266"/>
      <c r="XFB266"/>
      <c r="XFC266"/>
      <c r="XFD266"/>
    </row>
    <row r="267" spans="2:3 16369:16384" s="10" customFormat="1" ht="24.95" customHeight="1" x14ac:dyDescent="0.2">
      <c r="B267" s="34"/>
      <c r="C267" s="9"/>
      <c r="XEO267"/>
      <c r="XEP267"/>
      <c r="XEQ267"/>
      <c r="XER267"/>
      <c r="XES267"/>
      <c r="XET267"/>
      <c r="XEU267"/>
      <c r="XEV267"/>
      <c r="XEW267"/>
      <c r="XEX267"/>
      <c r="XEY267"/>
      <c r="XEZ267"/>
      <c r="XFA267"/>
      <c r="XFB267"/>
      <c r="XFC267"/>
      <c r="XFD267"/>
    </row>
    <row r="268" spans="2:3 16369:16384" s="10" customFormat="1" ht="24.95" customHeight="1" x14ac:dyDescent="0.2">
      <c r="B268" s="34"/>
      <c r="C268" s="9"/>
      <c r="XEO268"/>
      <c r="XEP268"/>
      <c r="XEQ268"/>
      <c r="XER268"/>
      <c r="XES268"/>
      <c r="XET268"/>
      <c r="XEU268"/>
      <c r="XEV268"/>
      <c r="XEW268"/>
      <c r="XEX268"/>
      <c r="XEY268"/>
      <c r="XEZ268"/>
      <c r="XFA268"/>
      <c r="XFB268"/>
      <c r="XFC268"/>
      <c r="XFD268"/>
    </row>
    <row r="269" spans="2:3 16369:16384" s="10" customFormat="1" ht="24.95" customHeight="1" x14ac:dyDescent="0.2">
      <c r="B269" s="34"/>
      <c r="C269" s="9"/>
      <c r="XEO269"/>
      <c r="XEP269"/>
      <c r="XEQ269"/>
      <c r="XER269"/>
      <c r="XES269"/>
      <c r="XET269"/>
      <c r="XEU269"/>
      <c r="XEV269"/>
      <c r="XEW269"/>
      <c r="XEX269"/>
      <c r="XEY269"/>
      <c r="XEZ269"/>
      <c r="XFA269"/>
      <c r="XFB269"/>
      <c r="XFC269"/>
      <c r="XFD269"/>
    </row>
    <row r="270" spans="2:3 16369:16384" s="10" customFormat="1" ht="24.95" customHeight="1" x14ac:dyDescent="0.2">
      <c r="B270" s="34"/>
      <c r="C270" s="9"/>
      <c r="XEO270"/>
      <c r="XEP270"/>
      <c r="XEQ270"/>
      <c r="XER270"/>
      <c r="XES270"/>
      <c r="XET270"/>
      <c r="XEU270"/>
      <c r="XEV270"/>
      <c r="XEW270"/>
      <c r="XEX270"/>
      <c r="XEY270"/>
      <c r="XEZ270"/>
      <c r="XFA270"/>
      <c r="XFB270"/>
      <c r="XFC270"/>
      <c r="XFD270"/>
    </row>
    <row r="271" spans="2:3 16369:16384" s="10" customFormat="1" ht="24.95" customHeight="1" x14ac:dyDescent="0.2">
      <c r="B271" s="34"/>
      <c r="C271" s="9"/>
      <c r="XEO271"/>
      <c r="XEP271"/>
      <c r="XEQ271"/>
      <c r="XER271"/>
      <c r="XES271"/>
      <c r="XET271"/>
      <c r="XEU271"/>
      <c r="XEV271"/>
      <c r="XEW271"/>
      <c r="XEX271"/>
      <c r="XEY271"/>
      <c r="XEZ271"/>
      <c r="XFA271"/>
      <c r="XFB271"/>
      <c r="XFC271"/>
      <c r="XFD271"/>
    </row>
    <row r="272" spans="2:3 16369:16384" s="10" customFormat="1" ht="24.95" customHeight="1" x14ac:dyDescent="0.2">
      <c r="B272" s="34"/>
      <c r="C272" s="9"/>
      <c r="XEO272"/>
      <c r="XEP272"/>
      <c r="XEQ272"/>
      <c r="XER272"/>
      <c r="XES272"/>
      <c r="XET272"/>
      <c r="XEU272"/>
      <c r="XEV272"/>
      <c r="XEW272"/>
      <c r="XEX272"/>
      <c r="XEY272"/>
      <c r="XEZ272"/>
      <c r="XFA272"/>
      <c r="XFB272"/>
      <c r="XFC272"/>
      <c r="XFD272"/>
    </row>
    <row r="273" spans="2:3 16369:16384" s="10" customFormat="1" ht="24.95" customHeight="1" x14ac:dyDescent="0.2">
      <c r="B273" s="34"/>
      <c r="C273" s="9"/>
      <c r="XEO273"/>
      <c r="XEP273"/>
      <c r="XEQ273"/>
      <c r="XER273"/>
      <c r="XES273"/>
      <c r="XET273"/>
      <c r="XEU273"/>
      <c r="XEV273"/>
      <c r="XEW273"/>
      <c r="XEX273"/>
      <c r="XEY273"/>
      <c r="XEZ273"/>
      <c r="XFA273"/>
      <c r="XFB273"/>
      <c r="XFC273"/>
      <c r="XFD273"/>
    </row>
    <row r="274" spans="2:3 16369:16384" s="10" customFormat="1" ht="24.95" customHeight="1" x14ac:dyDescent="0.2">
      <c r="B274" s="34"/>
      <c r="C274" s="9"/>
      <c r="XEO274"/>
      <c r="XEP274"/>
      <c r="XEQ274"/>
      <c r="XER274"/>
      <c r="XES274"/>
      <c r="XET274"/>
      <c r="XEU274"/>
      <c r="XEV274"/>
      <c r="XEW274"/>
      <c r="XEX274"/>
      <c r="XEY274"/>
      <c r="XEZ274"/>
      <c r="XFA274"/>
      <c r="XFB274"/>
      <c r="XFC274"/>
      <c r="XFD274"/>
    </row>
    <row r="275" spans="2:3 16369:16384" s="10" customFormat="1" ht="24.95" customHeight="1" x14ac:dyDescent="0.2">
      <c r="B275" s="34"/>
      <c r="C275" s="9"/>
      <c r="XEO275"/>
      <c r="XEP275"/>
      <c r="XEQ275"/>
      <c r="XER275"/>
      <c r="XES275"/>
      <c r="XET275"/>
      <c r="XEU275"/>
      <c r="XEV275"/>
      <c r="XEW275"/>
      <c r="XEX275"/>
      <c r="XEY275"/>
      <c r="XEZ275"/>
      <c r="XFA275"/>
      <c r="XFB275"/>
      <c r="XFC275"/>
      <c r="XFD275"/>
    </row>
    <row r="276" spans="2:3 16369:16384" s="10" customFormat="1" ht="24.95" customHeight="1" x14ac:dyDescent="0.2">
      <c r="B276" s="34"/>
      <c r="C276" s="9"/>
      <c r="XEO276"/>
      <c r="XEP276"/>
      <c r="XEQ276"/>
      <c r="XER276"/>
      <c r="XES276"/>
      <c r="XET276"/>
      <c r="XEU276"/>
      <c r="XEV276"/>
      <c r="XEW276"/>
      <c r="XEX276"/>
      <c r="XEY276"/>
      <c r="XEZ276"/>
      <c r="XFA276"/>
      <c r="XFB276"/>
      <c r="XFC276"/>
      <c r="XFD276"/>
    </row>
    <row r="277" spans="2:3 16369:16384" s="10" customFormat="1" ht="24.95" customHeight="1" x14ac:dyDescent="0.2">
      <c r="B277" s="34"/>
      <c r="C277" s="9"/>
      <c r="XEO277"/>
      <c r="XEP277"/>
      <c r="XEQ277"/>
      <c r="XER277"/>
      <c r="XES277"/>
      <c r="XET277"/>
      <c r="XEU277"/>
      <c r="XEV277"/>
      <c r="XEW277"/>
      <c r="XEX277"/>
      <c r="XEY277"/>
      <c r="XEZ277"/>
      <c r="XFA277"/>
      <c r="XFB277"/>
      <c r="XFC277"/>
      <c r="XFD277"/>
    </row>
    <row r="278" spans="2:3 16369:16384" s="10" customFormat="1" ht="24.95" customHeight="1" x14ac:dyDescent="0.2">
      <c r="B278" s="34"/>
      <c r="C278" s="9"/>
      <c r="XEO278"/>
      <c r="XEP278"/>
      <c r="XEQ278"/>
      <c r="XER278"/>
      <c r="XES278"/>
      <c r="XET278"/>
      <c r="XEU278"/>
      <c r="XEV278"/>
      <c r="XEW278"/>
      <c r="XEX278"/>
      <c r="XEY278"/>
      <c r="XEZ278"/>
      <c r="XFA278"/>
      <c r="XFB278"/>
      <c r="XFC278"/>
      <c r="XFD278"/>
    </row>
    <row r="279" spans="2:3 16369:16384" s="10" customFormat="1" ht="24.95" customHeight="1" x14ac:dyDescent="0.2">
      <c r="B279" s="34"/>
      <c r="C279" s="9"/>
      <c r="XEO279"/>
      <c r="XEP279"/>
      <c r="XEQ279"/>
      <c r="XER279"/>
      <c r="XES279"/>
      <c r="XET279"/>
      <c r="XEU279"/>
      <c r="XEV279"/>
      <c r="XEW279"/>
      <c r="XEX279"/>
      <c r="XEY279"/>
      <c r="XEZ279"/>
      <c r="XFA279"/>
      <c r="XFB279"/>
      <c r="XFC279"/>
      <c r="XFD279"/>
    </row>
    <row r="280" spans="2:3 16369:16384" s="10" customFormat="1" ht="24.95" customHeight="1" x14ac:dyDescent="0.2">
      <c r="B280" s="34"/>
      <c r="C280" s="9"/>
      <c r="XEO280"/>
      <c r="XEP280"/>
      <c r="XEQ280"/>
      <c r="XER280"/>
      <c r="XES280"/>
      <c r="XET280"/>
      <c r="XEU280"/>
      <c r="XEV280"/>
      <c r="XEW280"/>
      <c r="XEX280"/>
      <c r="XEY280"/>
      <c r="XEZ280"/>
      <c r="XFA280"/>
      <c r="XFB280"/>
      <c r="XFC280"/>
      <c r="XFD280"/>
    </row>
    <row r="281" spans="2:3 16369:16384" s="10" customFormat="1" ht="24.95" customHeight="1" x14ac:dyDescent="0.2">
      <c r="B281" s="34"/>
      <c r="C281" s="9"/>
      <c r="XEO281"/>
      <c r="XEP281"/>
      <c r="XEQ281"/>
      <c r="XER281"/>
      <c r="XES281"/>
      <c r="XET281"/>
      <c r="XEU281"/>
      <c r="XEV281"/>
      <c r="XEW281"/>
      <c r="XEX281"/>
      <c r="XEY281"/>
      <c r="XEZ281"/>
      <c r="XFA281"/>
      <c r="XFB281"/>
      <c r="XFC281"/>
      <c r="XFD281"/>
    </row>
    <row r="282" spans="2:3 16369:16384" s="10" customFormat="1" ht="24.95" customHeight="1" x14ac:dyDescent="0.2">
      <c r="B282" s="34"/>
      <c r="C282" s="9"/>
      <c r="XEO282"/>
      <c r="XEP282"/>
      <c r="XEQ282"/>
      <c r="XER282"/>
      <c r="XES282"/>
      <c r="XET282"/>
      <c r="XEU282"/>
      <c r="XEV282"/>
      <c r="XEW282"/>
      <c r="XEX282"/>
      <c r="XEY282"/>
      <c r="XEZ282"/>
      <c r="XFA282"/>
      <c r="XFB282"/>
      <c r="XFC282"/>
      <c r="XFD282"/>
    </row>
    <row r="283" spans="2:3 16369:16384" s="10" customFormat="1" ht="24.95" customHeight="1" x14ac:dyDescent="0.2">
      <c r="B283" s="34"/>
      <c r="C283" s="9"/>
      <c r="XEO283"/>
      <c r="XEP283"/>
      <c r="XEQ283"/>
      <c r="XER283"/>
      <c r="XES283"/>
      <c r="XET283"/>
      <c r="XEU283"/>
      <c r="XEV283"/>
      <c r="XEW283"/>
      <c r="XEX283"/>
      <c r="XEY283"/>
      <c r="XEZ283"/>
      <c r="XFA283"/>
      <c r="XFB283"/>
      <c r="XFC283"/>
      <c r="XFD283"/>
    </row>
    <row r="284" spans="2:3 16369:16384" s="10" customFormat="1" ht="24.95" customHeight="1" x14ac:dyDescent="0.2">
      <c r="B284" s="34"/>
      <c r="C284" s="9"/>
      <c r="XEO284"/>
      <c r="XEP284"/>
      <c r="XEQ284"/>
      <c r="XER284"/>
      <c r="XES284"/>
      <c r="XET284"/>
      <c r="XEU284"/>
      <c r="XEV284"/>
      <c r="XEW284"/>
      <c r="XEX284"/>
      <c r="XEY284"/>
      <c r="XEZ284"/>
      <c r="XFA284"/>
      <c r="XFB284"/>
      <c r="XFC284"/>
      <c r="XFD284"/>
    </row>
    <row r="285" spans="2:3 16369:16384" s="10" customFormat="1" ht="24.95" customHeight="1" x14ac:dyDescent="0.2">
      <c r="B285" s="34"/>
      <c r="C285" s="9"/>
      <c r="XEO285"/>
      <c r="XEP285"/>
      <c r="XEQ285"/>
      <c r="XER285"/>
      <c r="XES285"/>
      <c r="XET285"/>
      <c r="XEU285"/>
      <c r="XEV285"/>
      <c r="XEW285"/>
      <c r="XEX285"/>
      <c r="XEY285"/>
      <c r="XEZ285"/>
      <c r="XFA285"/>
      <c r="XFB285"/>
      <c r="XFC285"/>
      <c r="XFD285"/>
    </row>
    <row r="286" spans="2:3 16369:16384" s="10" customFormat="1" ht="24.95" customHeight="1" x14ac:dyDescent="0.2">
      <c r="B286" s="34"/>
      <c r="C286" s="9"/>
      <c r="XEO286"/>
      <c r="XEP286"/>
      <c r="XEQ286"/>
      <c r="XER286"/>
      <c r="XES286"/>
      <c r="XET286"/>
      <c r="XEU286"/>
      <c r="XEV286"/>
      <c r="XEW286"/>
      <c r="XEX286"/>
      <c r="XEY286"/>
      <c r="XEZ286"/>
      <c r="XFA286"/>
      <c r="XFB286"/>
      <c r="XFC286"/>
      <c r="XFD286"/>
    </row>
    <row r="287" spans="2:3 16369:16384" s="10" customFormat="1" ht="24.95" customHeight="1" x14ac:dyDescent="0.2">
      <c r="B287" s="34"/>
      <c r="C287" s="9"/>
      <c r="XEO287"/>
      <c r="XEP287"/>
      <c r="XEQ287"/>
      <c r="XER287"/>
      <c r="XES287"/>
      <c r="XET287"/>
      <c r="XEU287"/>
      <c r="XEV287"/>
      <c r="XEW287"/>
      <c r="XEX287"/>
      <c r="XEY287"/>
      <c r="XEZ287"/>
      <c r="XFA287"/>
      <c r="XFB287"/>
      <c r="XFC287"/>
      <c r="XFD287"/>
    </row>
    <row r="288" spans="2:3 16369:16384" s="10" customFormat="1" ht="24.95" customHeight="1" x14ac:dyDescent="0.2">
      <c r="B288" s="34"/>
      <c r="C288" s="9"/>
      <c r="XEO288"/>
      <c r="XEP288"/>
      <c r="XEQ288"/>
      <c r="XER288"/>
      <c r="XES288"/>
      <c r="XET288"/>
      <c r="XEU288"/>
      <c r="XEV288"/>
      <c r="XEW288"/>
      <c r="XEX288"/>
      <c r="XEY288"/>
      <c r="XEZ288"/>
      <c r="XFA288"/>
      <c r="XFB288"/>
      <c r="XFC288"/>
      <c r="XFD288"/>
    </row>
    <row r="289" spans="2:3 16369:16384" s="10" customFormat="1" ht="24.95" customHeight="1" x14ac:dyDescent="0.2">
      <c r="B289" s="34"/>
      <c r="C289" s="9"/>
      <c r="XEO289"/>
      <c r="XEP289"/>
      <c r="XEQ289"/>
      <c r="XER289"/>
      <c r="XES289"/>
      <c r="XET289"/>
      <c r="XEU289"/>
      <c r="XEV289"/>
      <c r="XEW289"/>
      <c r="XEX289"/>
      <c r="XEY289"/>
      <c r="XEZ289"/>
      <c r="XFA289"/>
      <c r="XFB289"/>
      <c r="XFC289"/>
      <c r="XFD289"/>
    </row>
    <row r="290" spans="2:3 16369:16384" s="10" customFormat="1" ht="24.95" customHeight="1" x14ac:dyDescent="0.2">
      <c r="B290" s="34"/>
      <c r="C290" s="9"/>
      <c r="XEO290"/>
      <c r="XEP290"/>
      <c r="XEQ290"/>
      <c r="XER290"/>
      <c r="XES290"/>
      <c r="XET290"/>
      <c r="XEU290"/>
      <c r="XEV290"/>
      <c r="XEW290"/>
      <c r="XEX290"/>
      <c r="XEY290"/>
      <c r="XEZ290"/>
      <c r="XFA290"/>
      <c r="XFB290"/>
      <c r="XFC290"/>
      <c r="XFD290"/>
    </row>
    <row r="291" spans="2:3 16369:16384" s="10" customFormat="1" ht="24.95" customHeight="1" x14ac:dyDescent="0.2">
      <c r="B291" s="34"/>
      <c r="C291" s="9"/>
      <c r="XEO291"/>
      <c r="XEP291"/>
      <c r="XEQ291"/>
      <c r="XER291"/>
      <c r="XES291"/>
      <c r="XET291"/>
      <c r="XEU291"/>
      <c r="XEV291"/>
      <c r="XEW291"/>
      <c r="XEX291"/>
      <c r="XEY291"/>
      <c r="XEZ291"/>
      <c r="XFA291"/>
      <c r="XFB291"/>
      <c r="XFC291"/>
      <c r="XFD291"/>
    </row>
    <row r="292" spans="2:3 16369:16384" s="10" customFormat="1" ht="24.95" customHeight="1" x14ac:dyDescent="0.2">
      <c r="B292" s="34"/>
      <c r="C292" s="9"/>
      <c r="XEO292"/>
      <c r="XEP292"/>
      <c r="XEQ292"/>
      <c r="XER292"/>
      <c r="XES292"/>
      <c r="XET292"/>
      <c r="XEU292"/>
      <c r="XEV292"/>
      <c r="XEW292"/>
      <c r="XEX292"/>
      <c r="XEY292"/>
      <c r="XEZ292"/>
      <c r="XFA292"/>
      <c r="XFB292"/>
      <c r="XFC292"/>
      <c r="XFD292"/>
    </row>
    <row r="293" spans="2:3 16369:16384" s="10" customFormat="1" ht="24.95" customHeight="1" x14ac:dyDescent="0.2">
      <c r="B293" s="34"/>
      <c r="C293" s="9"/>
      <c r="XEO293"/>
      <c r="XEP293"/>
      <c r="XEQ293"/>
      <c r="XER293"/>
      <c r="XES293"/>
      <c r="XET293"/>
      <c r="XEU293"/>
      <c r="XEV293"/>
      <c r="XEW293"/>
      <c r="XEX293"/>
      <c r="XEY293"/>
      <c r="XEZ293"/>
      <c r="XFA293"/>
      <c r="XFB293"/>
      <c r="XFC293"/>
      <c r="XFD293"/>
    </row>
    <row r="294" spans="2:3 16369:16384" s="10" customFormat="1" ht="24.95" customHeight="1" x14ac:dyDescent="0.2">
      <c r="B294" s="34"/>
      <c r="C294" s="9"/>
      <c r="XEO294"/>
      <c r="XEP294"/>
      <c r="XEQ294"/>
      <c r="XER294"/>
      <c r="XES294"/>
      <c r="XET294"/>
      <c r="XEU294"/>
      <c r="XEV294"/>
      <c r="XEW294"/>
      <c r="XEX294"/>
      <c r="XEY294"/>
      <c r="XEZ294"/>
      <c r="XFA294"/>
      <c r="XFB294"/>
      <c r="XFC294"/>
      <c r="XFD294"/>
    </row>
    <row r="295" spans="2:3 16369:16384" s="10" customFormat="1" ht="24.95" customHeight="1" x14ac:dyDescent="0.2">
      <c r="B295" s="34"/>
      <c r="C295" s="9"/>
      <c r="XEO295"/>
      <c r="XEP295"/>
      <c r="XEQ295"/>
      <c r="XER295"/>
      <c r="XES295"/>
      <c r="XET295"/>
      <c r="XEU295"/>
      <c r="XEV295"/>
      <c r="XEW295"/>
      <c r="XEX295"/>
      <c r="XEY295"/>
      <c r="XEZ295"/>
      <c r="XFA295"/>
      <c r="XFB295"/>
      <c r="XFC295"/>
      <c r="XFD295"/>
    </row>
    <row r="296" spans="2:3 16369:16384" s="10" customFormat="1" ht="24.95" customHeight="1" x14ac:dyDescent="0.2">
      <c r="B296" s="34"/>
      <c r="C296" s="9"/>
      <c r="XEO296"/>
      <c r="XEP296"/>
      <c r="XEQ296"/>
      <c r="XER296"/>
      <c r="XES296"/>
      <c r="XET296"/>
      <c r="XEU296"/>
      <c r="XEV296"/>
      <c r="XEW296"/>
      <c r="XEX296"/>
      <c r="XEY296"/>
      <c r="XEZ296"/>
      <c r="XFA296"/>
      <c r="XFB296"/>
      <c r="XFC296"/>
      <c r="XFD296"/>
    </row>
    <row r="297" spans="2:3 16369:16384" s="10" customFormat="1" ht="24.95" customHeight="1" x14ac:dyDescent="0.2">
      <c r="B297" s="34"/>
      <c r="C297" s="9"/>
      <c r="XEO297"/>
      <c r="XEP297"/>
      <c r="XEQ297"/>
      <c r="XER297"/>
      <c r="XES297"/>
      <c r="XET297"/>
      <c r="XEU297"/>
      <c r="XEV297"/>
      <c r="XEW297"/>
      <c r="XEX297"/>
      <c r="XEY297"/>
      <c r="XEZ297"/>
      <c r="XFA297"/>
      <c r="XFB297"/>
      <c r="XFC297"/>
      <c r="XFD297"/>
    </row>
    <row r="298" spans="2:3 16369:16384" s="10" customFormat="1" ht="24.95" customHeight="1" x14ac:dyDescent="0.2">
      <c r="B298" s="34"/>
      <c r="C298" s="9"/>
      <c r="XEO298"/>
      <c r="XEP298"/>
      <c r="XEQ298"/>
      <c r="XER298"/>
      <c r="XES298"/>
      <c r="XET298"/>
      <c r="XEU298"/>
      <c r="XEV298"/>
      <c r="XEW298"/>
      <c r="XEX298"/>
      <c r="XEY298"/>
      <c r="XEZ298"/>
      <c r="XFA298"/>
      <c r="XFB298"/>
      <c r="XFC298"/>
      <c r="XFD298"/>
    </row>
    <row r="299" spans="2:3 16369:16384" s="10" customFormat="1" ht="24.95" customHeight="1" x14ac:dyDescent="0.2">
      <c r="B299" s="34"/>
      <c r="C299" s="9"/>
      <c r="XEO299"/>
      <c r="XEP299"/>
      <c r="XEQ299"/>
      <c r="XER299"/>
      <c r="XES299"/>
      <c r="XET299"/>
      <c r="XEU299"/>
      <c r="XEV299"/>
      <c r="XEW299"/>
      <c r="XEX299"/>
      <c r="XEY299"/>
      <c r="XEZ299"/>
      <c r="XFA299"/>
      <c r="XFB299"/>
      <c r="XFC299"/>
      <c r="XFD299"/>
    </row>
    <row r="300" spans="2:3 16369:16384" s="10" customFormat="1" ht="24.95" customHeight="1" x14ac:dyDescent="0.2">
      <c r="B300" s="34"/>
      <c r="C300" s="9"/>
      <c r="XEO300"/>
      <c r="XEP300"/>
      <c r="XEQ300"/>
      <c r="XER300"/>
      <c r="XES300"/>
      <c r="XET300"/>
      <c r="XEU300"/>
      <c r="XEV300"/>
      <c r="XEW300"/>
      <c r="XEX300"/>
      <c r="XEY300"/>
      <c r="XEZ300"/>
      <c r="XFA300"/>
      <c r="XFB300"/>
      <c r="XFC300"/>
      <c r="XFD300"/>
    </row>
    <row r="301" spans="2:3 16369:16384" s="10" customFormat="1" ht="24.95" customHeight="1" x14ac:dyDescent="0.2">
      <c r="B301" s="34"/>
      <c r="C301" s="9"/>
      <c r="XEO301"/>
      <c r="XEP301"/>
      <c r="XEQ301"/>
      <c r="XER301"/>
      <c r="XES301"/>
      <c r="XET301"/>
      <c r="XEU301"/>
      <c r="XEV301"/>
      <c r="XEW301"/>
      <c r="XEX301"/>
      <c r="XEY301"/>
      <c r="XEZ301"/>
      <c r="XFA301"/>
      <c r="XFB301"/>
      <c r="XFC301"/>
      <c r="XFD301"/>
    </row>
    <row r="302" spans="2:3 16369:16384" s="10" customFormat="1" ht="24.95" customHeight="1" x14ac:dyDescent="0.2">
      <c r="B302" s="34"/>
      <c r="C302" s="9"/>
      <c r="XEO302"/>
      <c r="XEP302"/>
      <c r="XEQ302"/>
      <c r="XER302"/>
      <c r="XES302"/>
      <c r="XET302"/>
      <c r="XEU302"/>
      <c r="XEV302"/>
      <c r="XEW302"/>
      <c r="XEX302"/>
      <c r="XEY302"/>
      <c r="XEZ302"/>
      <c r="XFA302"/>
      <c r="XFB302"/>
      <c r="XFC302"/>
      <c r="XFD302"/>
    </row>
    <row r="303" spans="2:3 16369:16384" s="10" customFormat="1" ht="24.95" customHeight="1" x14ac:dyDescent="0.2">
      <c r="B303" s="34"/>
      <c r="C303" s="9"/>
      <c r="XEO303"/>
      <c r="XEP303"/>
      <c r="XEQ303"/>
      <c r="XER303"/>
      <c r="XES303"/>
      <c r="XET303"/>
      <c r="XEU303"/>
      <c r="XEV303"/>
      <c r="XEW303"/>
      <c r="XEX303"/>
      <c r="XEY303"/>
      <c r="XEZ303"/>
      <c r="XFA303"/>
      <c r="XFB303"/>
      <c r="XFC303"/>
      <c r="XFD303"/>
    </row>
    <row r="304" spans="2:3 16369:16384" s="10" customFormat="1" ht="24.95" customHeight="1" x14ac:dyDescent="0.2">
      <c r="B304" s="34"/>
      <c r="C304" s="9"/>
      <c r="XEO304"/>
      <c r="XEP304"/>
      <c r="XEQ304"/>
      <c r="XER304"/>
      <c r="XES304"/>
      <c r="XET304"/>
      <c r="XEU304"/>
      <c r="XEV304"/>
      <c r="XEW304"/>
      <c r="XEX304"/>
      <c r="XEY304"/>
      <c r="XEZ304"/>
      <c r="XFA304"/>
      <c r="XFB304"/>
      <c r="XFC304"/>
      <c r="XFD304"/>
    </row>
    <row r="305" spans="2:3 16369:16384" s="10" customFormat="1" ht="24.95" customHeight="1" x14ac:dyDescent="0.2">
      <c r="B305" s="34"/>
      <c r="C305" s="9"/>
      <c r="XEO305"/>
      <c r="XEP305"/>
      <c r="XEQ305"/>
      <c r="XER305"/>
      <c r="XES305"/>
      <c r="XET305"/>
      <c r="XEU305"/>
      <c r="XEV305"/>
      <c r="XEW305"/>
      <c r="XEX305"/>
      <c r="XEY305"/>
      <c r="XEZ305"/>
      <c r="XFA305"/>
      <c r="XFB305"/>
      <c r="XFC305"/>
      <c r="XFD305"/>
    </row>
    <row r="306" spans="2:3 16369:16384" s="10" customFormat="1" ht="24.95" customHeight="1" x14ac:dyDescent="0.2">
      <c r="B306" s="34"/>
      <c r="C306" s="9"/>
      <c r="XEO306"/>
      <c r="XEP306"/>
      <c r="XEQ306"/>
      <c r="XER306"/>
      <c r="XES306"/>
      <c r="XET306"/>
      <c r="XEU306"/>
      <c r="XEV306"/>
      <c r="XEW306"/>
      <c r="XEX306"/>
      <c r="XEY306"/>
      <c r="XEZ306"/>
      <c r="XFA306"/>
      <c r="XFB306"/>
      <c r="XFC306"/>
      <c r="XFD306"/>
    </row>
    <row r="307" spans="2:3 16369:16384" s="10" customFormat="1" ht="24.95" customHeight="1" x14ac:dyDescent="0.2">
      <c r="B307" s="34"/>
      <c r="C307" s="9"/>
      <c r="XEO307"/>
      <c r="XEP307"/>
      <c r="XEQ307"/>
      <c r="XER307"/>
      <c r="XES307"/>
      <c r="XET307"/>
      <c r="XEU307"/>
      <c r="XEV307"/>
      <c r="XEW307"/>
      <c r="XEX307"/>
      <c r="XEY307"/>
      <c r="XEZ307"/>
      <c r="XFA307"/>
      <c r="XFB307"/>
      <c r="XFC307"/>
      <c r="XFD307"/>
    </row>
    <row r="308" spans="2:3 16369:16384" s="10" customFormat="1" ht="24.95" customHeight="1" x14ac:dyDescent="0.2">
      <c r="B308" s="34"/>
      <c r="C308" s="9"/>
      <c r="XEO308"/>
      <c r="XEP308"/>
      <c r="XEQ308"/>
      <c r="XER308"/>
      <c r="XES308"/>
      <c r="XET308"/>
      <c r="XEU308"/>
      <c r="XEV308"/>
      <c r="XEW308"/>
      <c r="XEX308"/>
      <c r="XEY308"/>
      <c r="XEZ308"/>
      <c r="XFA308"/>
      <c r="XFB308"/>
      <c r="XFC308"/>
      <c r="XFD308"/>
    </row>
    <row r="309" spans="2:3 16369:16384" s="10" customFormat="1" ht="24.95" customHeight="1" x14ac:dyDescent="0.2">
      <c r="B309" s="34"/>
      <c r="C309" s="9"/>
      <c r="XEO309"/>
      <c r="XEP309"/>
      <c r="XEQ309"/>
      <c r="XER309"/>
      <c r="XES309"/>
      <c r="XET309"/>
      <c r="XEU309"/>
      <c r="XEV309"/>
      <c r="XEW309"/>
      <c r="XEX309"/>
      <c r="XEY309"/>
      <c r="XEZ309"/>
      <c r="XFA309"/>
      <c r="XFB309"/>
      <c r="XFC309"/>
      <c r="XFD309"/>
    </row>
    <row r="310" spans="2:3 16369:16384" s="10" customFormat="1" ht="24.95" customHeight="1" x14ac:dyDescent="0.2">
      <c r="B310" s="34"/>
      <c r="C310" s="9"/>
      <c r="XEO310"/>
      <c r="XEP310"/>
      <c r="XEQ310"/>
      <c r="XER310"/>
      <c r="XES310"/>
      <c r="XET310"/>
      <c r="XEU310"/>
      <c r="XEV310"/>
      <c r="XEW310"/>
      <c r="XEX310"/>
      <c r="XEY310"/>
      <c r="XEZ310"/>
      <c r="XFA310"/>
      <c r="XFB310"/>
      <c r="XFC310"/>
      <c r="XFD310"/>
    </row>
    <row r="311" spans="2:3 16369:16384" s="10" customFormat="1" ht="24.95" customHeight="1" x14ac:dyDescent="0.2">
      <c r="B311" s="34"/>
      <c r="C311" s="9"/>
      <c r="XEO311"/>
      <c r="XEP311"/>
      <c r="XEQ311"/>
      <c r="XER311"/>
      <c r="XES311"/>
      <c r="XET311"/>
      <c r="XEU311"/>
      <c r="XEV311"/>
      <c r="XEW311"/>
      <c r="XEX311"/>
      <c r="XEY311"/>
      <c r="XEZ311"/>
      <c r="XFA311"/>
      <c r="XFB311"/>
      <c r="XFC311"/>
      <c r="XFD311"/>
    </row>
    <row r="312" spans="2:3 16369:16384" s="10" customFormat="1" ht="24.95" customHeight="1" x14ac:dyDescent="0.2">
      <c r="B312" s="34"/>
      <c r="C312" s="9"/>
      <c r="XEO312"/>
      <c r="XEP312"/>
      <c r="XEQ312"/>
      <c r="XER312"/>
      <c r="XES312"/>
      <c r="XET312"/>
      <c r="XEU312"/>
      <c r="XEV312"/>
      <c r="XEW312"/>
      <c r="XEX312"/>
      <c r="XEY312"/>
      <c r="XEZ312"/>
      <c r="XFA312"/>
      <c r="XFB312"/>
      <c r="XFC312"/>
      <c r="XFD312"/>
    </row>
    <row r="313" spans="2:3 16369:16384" s="10" customFormat="1" ht="24.95" customHeight="1" x14ac:dyDescent="0.2">
      <c r="B313" s="34"/>
      <c r="C313" s="9"/>
      <c r="XEO313"/>
      <c r="XEP313"/>
      <c r="XEQ313"/>
      <c r="XER313"/>
      <c r="XES313"/>
      <c r="XET313"/>
      <c r="XEU313"/>
      <c r="XEV313"/>
      <c r="XEW313"/>
      <c r="XEX313"/>
      <c r="XEY313"/>
      <c r="XEZ313"/>
      <c r="XFA313"/>
      <c r="XFB313"/>
      <c r="XFC313"/>
      <c r="XFD313"/>
    </row>
    <row r="314" spans="2:3 16369:16384" s="10" customFormat="1" ht="24.95" customHeight="1" x14ac:dyDescent="0.2">
      <c r="B314" s="34"/>
      <c r="C314" s="9"/>
      <c r="XEO314"/>
      <c r="XEP314"/>
      <c r="XEQ314"/>
      <c r="XER314"/>
      <c r="XES314"/>
      <c r="XET314"/>
      <c r="XEU314"/>
      <c r="XEV314"/>
      <c r="XEW314"/>
      <c r="XEX314"/>
      <c r="XEY314"/>
      <c r="XEZ314"/>
      <c r="XFA314"/>
      <c r="XFB314"/>
      <c r="XFC314"/>
      <c r="XFD314"/>
    </row>
    <row r="315" spans="2:3 16369:16384" s="10" customFormat="1" ht="24.95" customHeight="1" x14ac:dyDescent="0.2">
      <c r="B315" s="34"/>
      <c r="C315" s="9"/>
      <c r="XEO315"/>
      <c r="XEP315"/>
      <c r="XEQ315"/>
      <c r="XER315"/>
      <c r="XES315"/>
      <c r="XET315"/>
      <c r="XEU315"/>
      <c r="XEV315"/>
      <c r="XEW315"/>
      <c r="XEX315"/>
      <c r="XEY315"/>
      <c r="XEZ315"/>
      <c r="XFA315"/>
      <c r="XFB315"/>
      <c r="XFC315"/>
      <c r="XFD315"/>
    </row>
    <row r="316" spans="2:3 16369:16384" s="10" customFormat="1" ht="24.95" customHeight="1" x14ac:dyDescent="0.2">
      <c r="B316" s="34"/>
      <c r="C316" s="9"/>
      <c r="XEO316"/>
      <c r="XEP316"/>
      <c r="XEQ316"/>
      <c r="XER316"/>
      <c r="XES316"/>
      <c r="XET316"/>
      <c r="XEU316"/>
      <c r="XEV316"/>
      <c r="XEW316"/>
      <c r="XEX316"/>
      <c r="XEY316"/>
      <c r="XEZ316"/>
      <c r="XFA316"/>
      <c r="XFB316"/>
      <c r="XFC316"/>
      <c r="XFD316"/>
    </row>
    <row r="317" spans="2:3 16369:16384" s="10" customFormat="1" ht="24.95" customHeight="1" x14ac:dyDescent="0.2">
      <c r="B317" s="34"/>
      <c r="C317" s="9"/>
      <c r="XEO317"/>
      <c r="XEP317"/>
      <c r="XEQ317"/>
      <c r="XER317"/>
      <c r="XES317"/>
      <c r="XET317"/>
      <c r="XEU317"/>
      <c r="XEV317"/>
      <c r="XEW317"/>
      <c r="XEX317"/>
      <c r="XEY317"/>
      <c r="XEZ317"/>
      <c r="XFA317"/>
      <c r="XFB317"/>
      <c r="XFC317"/>
      <c r="XFD317"/>
    </row>
    <row r="318" spans="2:3 16369:16384" s="10" customFormat="1" ht="24.95" customHeight="1" x14ac:dyDescent="0.2">
      <c r="B318" s="34"/>
      <c r="C318" s="9"/>
      <c r="XEO318"/>
      <c r="XEP318"/>
      <c r="XEQ318"/>
      <c r="XER318"/>
      <c r="XES318"/>
      <c r="XET318"/>
      <c r="XEU318"/>
      <c r="XEV318"/>
      <c r="XEW318"/>
      <c r="XEX318"/>
      <c r="XEY318"/>
      <c r="XEZ318"/>
      <c r="XFA318"/>
      <c r="XFB318"/>
      <c r="XFC318"/>
      <c r="XFD318"/>
    </row>
    <row r="319" spans="2:3 16369:16384" s="10" customFormat="1" ht="24.95" customHeight="1" x14ac:dyDescent="0.2">
      <c r="B319" s="34"/>
      <c r="C319" s="9"/>
      <c r="XEO319"/>
      <c r="XEP319"/>
      <c r="XEQ319"/>
      <c r="XER319"/>
      <c r="XES319"/>
      <c r="XET319"/>
      <c r="XEU319"/>
      <c r="XEV319"/>
      <c r="XEW319"/>
      <c r="XEX319"/>
      <c r="XEY319"/>
      <c r="XEZ319"/>
      <c r="XFA319"/>
      <c r="XFB319"/>
      <c r="XFC319"/>
      <c r="XFD319"/>
    </row>
    <row r="320" spans="2:3 16369:16384" s="10" customFormat="1" ht="24.95" customHeight="1" x14ac:dyDescent="0.2">
      <c r="B320" s="34"/>
      <c r="C320" s="9"/>
      <c r="XEO320"/>
      <c r="XEP320"/>
      <c r="XEQ320"/>
      <c r="XER320"/>
      <c r="XES320"/>
      <c r="XET320"/>
      <c r="XEU320"/>
      <c r="XEV320"/>
      <c r="XEW320"/>
      <c r="XEX320"/>
      <c r="XEY320"/>
      <c r="XEZ320"/>
      <c r="XFA320"/>
      <c r="XFB320"/>
      <c r="XFC320"/>
      <c r="XFD320"/>
    </row>
    <row r="321" spans="2:3 16369:16384" s="10" customFormat="1" ht="24.95" customHeight="1" x14ac:dyDescent="0.2">
      <c r="B321" s="34"/>
      <c r="C321" s="9"/>
      <c r="XEO321"/>
      <c r="XEP321"/>
      <c r="XEQ321"/>
      <c r="XER321"/>
      <c r="XES321"/>
      <c r="XET321"/>
      <c r="XEU321"/>
      <c r="XEV321"/>
      <c r="XEW321"/>
      <c r="XEX321"/>
      <c r="XEY321"/>
      <c r="XEZ321"/>
      <c r="XFA321"/>
      <c r="XFB321"/>
      <c r="XFC321"/>
      <c r="XFD321"/>
    </row>
    <row r="322" spans="2:3 16369:16384" s="10" customFormat="1" ht="24.95" customHeight="1" x14ac:dyDescent="0.2">
      <c r="B322" s="34"/>
      <c r="C322" s="9"/>
      <c r="XEO322"/>
      <c r="XEP322"/>
      <c r="XEQ322"/>
      <c r="XER322"/>
      <c r="XES322"/>
      <c r="XET322"/>
      <c r="XEU322"/>
      <c r="XEV322"/>
      <c r="XEW322"/>
      <c r="XEX322"/>
      <c r="XEY322"/>
      <c r="XEZ322"/>
      <c r="XFA322"/>
      <c r="XFB322"/>
      <c r="XFC322"/>
      <c r="XFD322"/>
    </row>
    <row r="323" spans="2:3 16369:16384" s="10" customFormat="1" ht="24.95" customHeight="1" x14ac:dyDescent="0.2">
      <c r="B323" s="34"/>
      <c r="C323" s="9"/>
      <c r="XEO323"/>
      <c r="XEP323"/>
      <c r="XEQ323"/>
      <c r="XER323"/>
      <c r="XES323"/>
      <c r="XET323"/>
      <c r="XEU323"/>
      <c r="XEV323"/>
      <c r="XEW323"/>
      <c r="XEX323"/>
      <c r="XEY323"/>
      <c r="XEZ323"/>
      <c r="XFA323"/>
      <c r="XFB323"/>
      <c r="XFC323"/>
      <c r="XFD323"/>
    </row>
    <row r="324" spans="2:3 16369:16384" s="10" customFormat="1" ht="24.95" customHeight="1" x14ac:dyDescent="0.2">
      <c r="B324" s="34"/>
      <c r="C324" s="9"/>
      <c r="XEO324"/>
      <c r="XEP324"/>
      <c r="XEQ324"/>
      <c r="XER324"/>
      <c r="XES324"/>
      <c r="XET324"/>
      <c r="XEU324"/>
      <c r="XEV324"/>
      <c r="XEW324"/>
      <c r="XEX324"/>
      <c r="XEY324"/>
      <c r="XEZ324"/>
      <c r="XFA324"/>
      <c r="XFB324"/>
      <c r="XFC324"/>
      <c r="XFD324"/>
    </row>
    <row r="325" spans="2:3 16369:16384" s="10" customFormat="1" ht="24.95" customHeight="1" x14ac:dyDescent="0.2">
      <c r="B325" s="34"/>
      <c r="C325" s="9"/>
      <c r="XEO325"/>
      <c r="XEP325"/>
      <c r="XEQ325"/>
      <c r="XER325"/>
      <c r="XES325"/>
      <c r="XET325"/>
      <c r="XEU325"/>
      <c r="XEV325"/>
      <c r="XEW325"/>
      <c r="XEX325"/>
      <c r="XEY325"/>
      <c r="XEZ325"/>
      <c r="XFA325"/>
      <c r="XFB325"/>
      <c r="XFC325"/>
      <c r="XFD325"/>
    </row>
    <row r="326" spans="2:3 16369:16384" s="10" customFormat="1" ht="24.95" customHeight="1" x14ac:dyDescent="0.2">
      <c r="B326" s="34"/>
      <c r="C326" s="9"/>
      <c r="XEO326"/>
      <c r="XEP326"/>
      <c r="XEQ326"/>
      <c r="XER326"/>
      <c r="XES326"/>
      <c r="XET326"/>
      <c r="XEU326"/>
      <c r="XEV326"/>
      <c r="XEW326"/>
      <c r="XEX326"/>
      <c r="XEY326"/>
      <c r="XEZ326"/>
      <c r="XFA326"/>
      <c r="XFB326"/>
      <c r="XFC326"/>
      <c r="XFD326"/>
    </row>
    <row r="327" spans="2:3 16369:16384" s="10" customFormat="1" ht="24.95" customHeight="1" x14ac:dyDescent="0.2">
      <c r="B327" s="34"/>
      <c r="C327" s="9"/>
      <c r="XEO327"/>
      <c r="XEP327"/>
      <c r="XEQ327"/>
      <c r="XER327"/>
      <c r="XES327"/>
      <c r="XET327"/>
      <c r="XEU327"/>
      <c r="XEV327"/>
      <c r="XEW327"/>
      <c r="XEX327"/>
      <c r="XEY327"/>
      <c r="XEZ327"/>
      <c r="XFA327"/>
      <c r="XFB327"/>
      <c r="XFC327"/>
      <c r="XFD327"/>
    </row>
    <row r="328" spans="2:3 16369:16384" s="10" customFormat="1" ht="24.95" customHeight="1" x14ac:dyDescent="0.2">
      <c r="B328" s="34"/>
      <c r="C328" s="9"/>
      <c r="XEO328"/>
      <c r="XEP328"/>
      <c r="XEQ328"/>
      <c r="XER328"/>
      <c r="XES328"/>
      <c r="XET328"/>
      <c r="XEU328"/>
      <c r="XEV328"/>
      <c r="XEW328"/>
      <c r="XEX328"/>
      <c r="XEY328"/>
      <c r="XEZ328"/>
      <c r="XFA328"/>
      <c r="XFB328"/>
      <c r="XFC328"/>
      <c r="XFD328"/>
    </row>
    <row r="329" spans="2:3 16369:16384" s="10" customFormat="1" ht="24.95" customHeight="1" x14ac:dyDescent="0.2">
      <c r="B329" s="34"/>
      <c r="C329" s="9"/>
      <c r="XEO329"/>
      <c r="XEP329"/>
      <c r="XEQ329"/>
      <c r="XER329"/>
      <c r="XES329"/>
      <c r="XET329"/>
      <c r="XEU329"/>
      <c r="XEV329"/>
      <c r="XEW329"/>
      <c r="XEX329"/>
      <c r="XEY329"/>
      <c r="XEZ329"/>
      <c r="XFA329"/>
      <c r="XFB329"/>
      <c r="XFC329"/>
      <c r="XFD329"/>
    </row>
    <row r="330" spans="2:3 16369:16384" s="10" customFormat="1" ht="24.95" customHeight="1" x14ac:dyDescent="0.2">
      <c r="B330" s="34"/>
      <c r="C330" s="9"/>
      <c r="XEO330"/>
      <c r="XEP330"/>
      <c r="XEQ330"/>
      <c r="XER330"/>
      <c r="XES330"/>
      <c r="XET330"/>
      <c r="XEU330"/>
      <c r="XEV330"/>
      <c r="XEW330"/>
      <c r="XEX330"/>
      <c r="XEY330"/>
      <c r="XEZ330"/>
      <c r="XFA330"/>
      <c r="XFB330"/>
      <c r="XFC330"/>
      <c r="XFD330"/>
    </row>
    <row r="331" spans="2:3 16369:16384" s="10" customFormat="1" ht="24.95" customHeight="1" x14ac:dyDescent="0.2">
      <c r="B331" s="34"/>
      <c r="C331" s="9"/>
      <c r="XEO331"/>
      <c r="XEP331"/>
      <c r="XEQ331"/>
      <c r="XER331"/>
      <c r="XES331"/>
      <c r="XET331"/>
      <c r="XEU331"/>
      <c r="XEV331"/>
      <c r="XEW331"/>
      <c r="XEX331"/>
      <c r="XEY331"/>
      <c r="XEZ331"/>
      <c r="XFA331"/>
      <c r="XFB331"/>
      <c r="XFC331"/>
      <c r="XFD331"/>
    </row>
    <row r="332" spans="2:3 16369:16384" s="10" customFormat="1" ht="24.95" customHeight="1" x14ac:dyDescent="0.2">
      <c r="B332" s="34"/>
      <c r="C332" s="9"/>
      <c r="XEO332"/>
      <c r="XEP332"/>
      <c r="XEQ332"/>
      <c r="XER332"/>
      <c r="XES332"/>
      <c r="XET332"/>
      <c r="XEU332"/>
      <c r="XEV332"/>
      <c r="XEW332"/>
      <c r="XEX332"/>
      <c r="XEY332"/>
      <c r="XEZ332"/>
      <c r="XFA332"/>
      <c r="XFB332"/>
      <c r="XFC332"/>
      <c r="XFD332"/>
    </row>
    <row r="333" spans="2:3 16369:16384" s="10" customFormat="1" ht="24.95" customHeight="1" x14ac:dyDescent="0.2">
      <c r="B333" s="34"/>
      <c r="C333" s="9"/>
      <c r="XEO333"/>
      <c r="XEP333"/>
      <c r="XEQ333"/>
      <c r="XER333"/>
      <c r="XES333"/>
      <c r="XET333"/>
      <c r="XEU333"/>
      <c r="XEV333"/>
      <c r="XEW333"/>
      <c r="XEX333"/>
      <c r="XEY333"/>
      <c r="XEZ333"/>
      <c r="XFA333"/>
      <c r="XFB333"/>
      <c r="XFC333"/>
      <c r="XFD333"/>
    </row>
    <row r="334" spans="2:3 16369:16384" s="10" customFormat="1" ht="24.95" customHeight="1" x14ac:dyDescent="0.2">
      <c r="B334" s="34"/>
      <c r="C334" s="9"/>
      <c r="XEO334"/>
      <c r="XEP334"/>
      <c r="XEQ334"/>
      <c r="XER334"/>
      <c r="XES334"/>
      <c r="XET334"/>
      <c r="XEU334"/>
      <c r="XEV334"/>
      <c r="XEW334"/>
      <c r="XEX334"/>
      <c r="XEY334"/>
      <c r="XEZ334"/>
      <c r="XFA334"/>
      <c r="XFB334"/>
      <c r="XFC334"/>
      <c r="XFD334"/>
    </row>
    <row r="335" spans="2:3 16369:16384" s="10" customFormat="1" ht="24.95" customHeight="1" x14ac:dyDescent="0.2">
      <c r="B335" s="34"/>
      <c r="C335" s="9"/>
      <c r="XEO335"/>
      <c r="XEP335"/>
      <c r="XEQ335"/>
      <c r="XER335"/>
      <c r="XES335"/>
      <c r="XET335"/>
      <c r="XEU335"/>
      <c r="XEV335"/>
      <c r="XEW335"/>
      <c r="XEX335"/>
      <c r="XEY335"/>
      <c r="XEZ335"/>
      <c r="XFA335"/>
      <c r="XFB335"/>
      <c r="XFC335"/>
      <c r="XFD335"/>
    </row>
    <row r="336" spans="2:3 16369:16384" s="10" customFormat="1" ht="24.95" customHeight="1" x14ac:dyDescent="0.2">
      <c r="B336" s="34"/>
      <c r="C336" s="9"/>
      <c r="XEO336"/>
      <c r="XEP336"/>
      <c r="XEQ336"/>
      <c r="XER336"/>
      <c r="XES336"/>
      <c r="XET336"/>
      <c r="XEU336"/>
      <c r="XEV336"/>
      <c r="XEW336"/>
      <c r="XEX336"/>
      <c r="XEY336"/>
      <c r="XEZ336"/>
      <c r="XFA336"/>
      <c r="XFB336"/>
      <c r="XFC336"/>
      <c r="XFD336"/>
    </row>
    <row r="337" spans="2:3 16369:16384" s="10" customFormat="1" ht="24.95" customHeight="1" x14ac:dyDescent="0.2">
      <c r="B337" s="34"/>
      <c r="C337" s="9"/>
      <c r="XEO337"/>
      <c r="XEP337"/>
      <c r="XEQ337"/>
      <c r="XER337"/>
      <c r="XES337"/>
      <c r="XET337"/>
      <c r="XEU337"/>
      <c r="XEV337"/>
      <c r="XEW337"/>
      <c r="XEX337"/>
      <c r="XEY337"/>
      <c r="XEZ337"/>
      <c r="XFA337"/>
      <c r="XFB337"/>
      <c r="XFC337"/>
      <c r="XFD337"/>
    </row>
    <row r="338" spans="2:3 16369:16384" s="10" customFormat="1" ht="24.95" customHeight="1" x14ac:dyDescent="0.2">
      <c r="B338" s="34"/>
      <c r="C338" s="9"/>
      <c r="XEO338"/>
      <c r="XEP338"/>
      <c r="XEQ338"/>
      <c r="XER338"/>
      <c r="XES338"/>
      <c r="XET338"/>
      <c r="XEU338"/>
      <c r="XEV338"/>
      <c r="XEW338"/>
      <c r="XEX338"/>
      <c r="XEY338"/>
      <c r="XEZ338"/>
      <c r="XFA338"/>
      <c r="XFB338"/>
      <c r="XFC338"/>
      <c r="XFD338"/>
    </row>
    <row r="339" spans="2:3 16369:16384" s="10" customFormat="1" ht="24.95" customHeight="1" x14ac:dyDescent="0.2">
      <c r="B339" s="34"/>
      <c r="C339" s="9"/>
      <c r="XEO339"/>
      <c r="XEP339"/>
      <c r="XEQ339"/>
      <c r="XER339"/>
      <c r="XES339"/>
      <c r="XET339"/>
      <c r="XEU339"/>
      <c r="XEV339"/>
      <c r="XEW339"/>
      <c r="XEX339"/>
      <c r="XEY339"/>
      <c r="XEZ339"/>
      <c r="XFA339"/>
      <c r="XFB339"/>
      <c r="XFC339"/>
      <c r="XFD339"/>
    </row>
    <row r="340" spans="2:3 16369:16384" s="10" customFormat="1" ht="24.95" customHeight="1" x14ac:dyDescent="0.2">
      <c r="B340" s="34"/>
      <c r="C340" s="9"/>
      <c r="XEO340"/>
      <c r="XEP340"/>
      <c r="XEQ340"/>
      <c r="XER340"/>
      <c r="XES340"/>
      <c r="XET340"/>
      <c r="XEU340"/>
      <c r="XEV340"/>
      <c r="XEW340"/>
      <c r="XEX340"/>
      <c r="XEY340"/>
      <c r="XEZ340"/>
      <c r="XFA340"/>
      <c r="XFB340"/>
      <c r="XFC340"/>
      <c r="XFD340"/>
    </row>
    <row r="341" spans="2:3 16369:16384" s="10" customFormat="1" ht="24.95" customHeight="1" x14ac:dyDescent="0.2">
      <c r="B341" s="34"/>
      <c r="C341" s="9"/>
      <c r="XEO341"/>
      <c r="XEP341"/>
      <c r="XEQ341"/>
      <c r="XER341"/>
      <c r="XES341"/>
      <c r="XET341"/>
      <c r="XEU341"/>
      <c r="XEV341"/>
      <c r="XEW341"/>
      <c r="XEX341"/>
      <c r="XEY341"/>
      <c r="XEZ341"/>
      <c r="XFA341"/>
      <c r="XFB341"/>
      <c r="XFC341"/>
      <c r="XFD341"/>
    </row>
    <row r="342" spans="2:3 16369:16384" s="10" customFormat="1" ht="24.95" customHeight="1" x14ac:dyDescent="0.2">
      <c r="B342" s="34"/>
      <c r="C342" s="9"/>
      <c r="XEO342"/>
      <c r="XEP342"/>
      <c r="XEQ342"/>
      <c r="XER342"/>
      <c r="XES342"/>
      <c r="XET342"/>
      <c r="XEU342"/>
      <c r="XEV342"/>
      <c r="XEW342"/>
      <c r="XEX342"/>
      <c r="XEY342"/>
      <c r="XEZ342"/>
      <c r="XFA342"/>
      <c r="XFB342"/>
      <c r="XFC342"/>
      <c r="XFD342"/>
    </row>
    <row r="343" spans="2:3 16369:16384" s="10" customFormat="1" ht="24.95" customHeight="1" x14ac:dyDescent="0.2">
      <c r="B343" s="34"/>
      <c r="C343" s="9"/>
      <c r="XEO343"/>
      <c r="XEP343"/>
      <c r="XEQ343"/>
      <c r="XER343"/>
      <c r="XES343"/>
      <c r="XET343"/>
      <c r="XEU343"/>
      <c r="XEV343"/>
      <c r="XEW343"/>
      <c r="XEX343"/>
      <c r="XEY343"/>
      <c r="XEZ343"/>
      <c r="XFA343"/>
      <c r="XFB343"/>
      <c r="XFC343"/>
      <c r="XFD343"/>
    </row>
    <row r="344" spans="2:3 16369:16384" s="10" customFormat="1" ht="24.95" customHeight="1" x14ac:dyDescent="0.2">
      <c r="B344" s="34"/>
      <c r="C344" s="9"/>
      <c r="XEO344"/>
      <c r="XEP344"/>
      <c r="XEQ344"/>
      <c r="XER344"/>
      <c r="XES344"/>
      <c r="XET344"/>
      <c r="XEU344"/>
      <c r="XEV344"/>
      <c r="XEW344"/>
      <c r="XEX344"/>
      <c r="XEY344"/>
      <c r="XEZ344"/>
      <c r="XFA344"/>
      <c r="XFB344"/>
      <c r="XFC344"/>
      <c r="XFD344"/>
    </row>
    <row r="345" spans="2:3 16369:16384" s="10" customFormat="1" ht="24.95" customHeight="1" x14ac:dyDescent="0.2">
      <c r="B345" s="34"/>
      <c r="C345" s="9"/>
      <c r="XEO345"/>
      <c r="XEP345"/>
      <c r="XEQ345"/>
      <c r="XER345"/>
      <c r="XES345"/>
      <c r="XET345"/>
      <c r="XEU345"/>
      <c r="XEV345"/>
      <c r="XEW345"/>
      <c r="XEX345"/>
      <c r="XEY345"/>
      <c r="XEZ345"/>
      <c r="XFA345"/>
      <c r="XFB345"/>
      <c r="XFC345"/>
      <c r="XFD345"/>
    </row>
    <row r="346" spans="2:3 16369:16384" s="10" customFormat="1" ht="24.95" customHeight="1" x14ac:dyDescent="0.2">
      <c r="B346" s="34"/>
      <c r="C346" s="9"/>
      <c r="XEO346"/>
      <c r="XEP346"/>
      <c r="XEQ346"/>
      <c r="XER346"/>
      <c r="XES346"/>
      <c r="XET346"/>
      <c r="XEU346"/>
      <c r="XEV346"/>
      <c r="XEW346"/>
      <c r="XEX346"/>
      <c r="XEY346"/>
      <c r="XEZ346"/>
      <c r="XFA346"/>
      <c r="XFB346"/>
      <c r="XFC346"/>
      <c r="XFD346"/>
    </row>
    <row r="347" spans="2:3 16369:16384" s="10" customFormat="1" ht="24.95" customHeight="1" x14ac:dyDescent="0.2">
      <c r="B347" s="34"/>
      <c r="C347" s="9"/>
      <c r="XEO347"/>
      <c r="XEP347"/>
      <c r="XEQ347"/>
      <c r="XER347"/>
      <c r="XES347"/>
      <c r="XET347"/>
      <c r="XEU347"/>
      <c r="XEV347"/>
      <c r="XEW347"/>
      <c r="XEX347"/>
      <c r="XEY347"/>
      <c r="XEZ347"/>
      <c r="XFA347"/>
      <c r="XFB347"/>
      <c r="XFC347"/>
      <c r="XFD347"/>
    </row>
    <row r="348" spans="2:3 16369:16384" s="10" customFormat="1" ht="24.95" customHeight="1" x14ac:dyDescent="0.2">
      <c r="B348" s="34"/>
      <c r="C348" s="9"/>
      <c r="XEO348"/>
      <c r="XEP348"/>
      <c r="XEQ348"/>
      <c r="XER348"/>
      <c r="XES348"/>
      <c r="XET348"/>
      <c r="XEU348"/>
      <c r="XEV348"/>
      <c r="XEW348"/>
      <c r="XEX348"/>
      <c r="XEY348"/>
      <c r="XEZ348"/>
      <c r="XFA348"/>
      <c r="XFB348"/>
      <c r="XFC348"/>
      <c r="XFD348"/>
    </row>
    <row r="349" spans="2:3 16369:16384" s="10" customFormat="1" ht="24.95" customHeight="1" x14ac:dyDescent="0.2">
      <c r="B349" s="34"/>
      <c r="C349" s="9"/>
      <c r="XEO349"/>
      <c r="XEP349"/>
      <c r="XEQ349"/>
      <c r="XER349"/>
      <c r="XES349"/>
      <c r="XET349"/>
      <c r="XEU349"/>
      <c r="XEV349"/>
      <c r="XEW349"/>
      <c r="XEX349"/>
      <c r="XEY349"/>
      <c r="XEZ349"/>
      <c r="XFA349"/>
      <c r="XFB349"/>
      <c r="XFC349"/>
      <c r="XFD349"/>
    </row>
    <row r="350" spans="2:3 16369:16384" s="10" customFormat="1" ht="24.95" customHeight="1" x14ac:dyDescent="0.2">
      <c r="B350" s="34"/>
      <c r="C350" s="9"/>
      <c r="XEO350"/>
      <c r="XEP350"/>
      <c r="XEQ350"/>
      <c r="XER350"/>
      <c r="XES350"/>
      <c r="XET350"/>
      <c r="XEU350"/>
      <c r="XEV350"/>
      <c r="XEW350"/>
      <c r="XEX350"/>
      <c r="XEY350"/>
      <c r="XEZ350"/>
      <c r="XFA350"/>
      <c r="XFB350"/>
      <c r="XFC350"/>
      <c r="XFD350"/>
    </row>
    <row r="351" spans="2:3 16369:16384" s="10" customFormat="1" ht="24.95" customHeight="1" x14ac:dyDescent="0.2">
      <c r="B351" s="34"/>
      <c r="C351" s="9"/>
      <c r="XEO351"/>
      <c r="XEP351"/>
      <c r="XEQ351"/>
      <c r="XER351"/>
      <c r="XES351"/>
      <c r="XET351"/>
      <c r="XEU351"/>
      <c r="XEV351"/>
      <c r="XEW351"/>
      <c r="XEX351"/>
      <c r="XEY351"/>
      <c r="XEZ351"/>
      <c r="XFA351"/>
      <c r="XFB351"/>
      <c r="XFC351"/>
      <c r="XFD351"/>
    </row>
    <row r="352" spans="2:3 16369:16384" s="10" customFormat="1" ht="24.95" customHeight="1" x14ac:dyDescent="0.2">
      <c r="B352" s="34"/>
      <c r="C352" s="9"/>
      <c r="XEO352"/>
      <c r="XEP352"/>
      <c r="XEQ352"/>
      <c r="XER352"/>
      <c r="XES352"/>
      <c r="XET352"/>
      <c r="XEU352"/>
      <c r="XEV352"/>
      <c r="XEW352"/>
      <c r="XEX352"/>
      <c r="XEY352"/>
      <c r="XEZ352"/>
      <c r="XFA352"/>
      <c r="XFB352"/>
      <c r="XFC352"/>
      <c r="XFD352"/>
    </row>
    <row r="353" spans="2:3 16369:16384" s="10" customFormat="1" ht="24.95" customHeight="1" x14ac:dyDescent="0.2">
      <c r="B353" s="34"/>
      <c r="C353" s="9"/>
      <c r="XEO353"/>
      <c r="XEP353"/>
      <c r="XEQ353"/>
      <c r="XER353"/>
      <c r="XES353"/>
      <c r="XET353"/>
      <c r="XEU353"/>
      <c r="XEV353"/>
      <c r="XEW353"/>
      <c r="XEX353"/>
      <c r="XEY353"/>
      <c r="XEZ353"/>
      <c r="XFA353"/>
      <c r="XFB353"/>
      <c r="XFC353"/>
      <c r="XFD353"/>
    </row>
    <row r="354" spans="2:3 16369:16384" s="10" customFormat="1" ht="24.95" customHeight="1" x14ac:dyDescent="0.2">
      <c r="B354" s="34"/>
      <c r="C354" s="9"/>
      <c r="XEO354"/>
      <c r="XEP354"/>
      <c r="XEQ354"/>
      <c r="XER354"/>
      <c r="XES354"/>
      <c r="XET354"/>
      <c r="XEU354"/>
      <c r="XEV354"/>
      <c r="XEW354"/>
      <c r="XEX354"/>
      <c r="XEY354"/>
      <c r="XEZ354"/>
      <c r="XFA354"/>
      <c r="XFB354"/>
      <c r="XFC354"/>
      <c r="XFD354"/>
    </row>
    <row r="355" spans="2:3 16369:16384" s="10" customFormat="1" ht="24.95" customHeight="1" x14ac:dyDescent="0.2">
      <c r="B355" s="34"/>
      <c r="C355" s="9"/>
      <c r="XEO355"/>
      <c r="XEP355"/>
      <c r="XEQ355"/>
      <c r="XER355"/>
      <c r="XES355"/>
      <c r="XET355"/>
      <c r="XEU355"/>
      <c r="XEV355"/>
      <c r="XEW355"/>
      <c r="XEX355"/>
      <c r="XEY355"/>
      <c r="XEZ355"/>
      <c r="XFA355"/>
      <c r="XFB355"/>
      <c r="XFC355"/>
      <c r="XFD355"/>
    </row>
    <row r="356" spans="2:3 16369:16384" s="10" customFormat="1" ht="24.95" customHeight="1" x14ac:dyDescent="0.2">
      <c r="B356" s="34"/>
      <c r="C356" s="9"/>
      <c r="XEO356"/>
      <c r="XEP356"/>
      <c r="XEQ356"/>
      <c r="XER356"/>
      <c r="XES356"/>
      <c r="XET356"/>
      <c r="XEU356"/>
      <c r="XEV356"/>
      <c r="XEW356"/>
      <c r="XEX356"/>
      <c r="XEY356"/>
      <c r="XEZ356"/>
      <c r="XFA356"/>
      <c r="XFB356"/>
      <c r="XFC356"/>
      <c r="XFD356"/>
    </row>
    <row r="357" spans="2:3 16369:16384" s="10" customFormat="1" ht="24.95" customHeight="1" x14ac:dyDescent="0.2">
      <c r="B357" s="34"/>
      <c r="C357" s="9"/>
      <c r="XEO357"/>
      <c r="XEP357"/>
      <c r="XEQ357"/>
      <c r="XER357"/>
      <c r="XES357"/>
      <c r="XET357"/>
      <c r="XEU357"/>
      <c r="XEV357"/>
      <c r="XEW357"/>
      <c r="XEX357"/>
      <c r="XEY357"/>
      <c r="XEZ357"/>
      <c r="XFA357"/>
      <c r="XFB357"/>
      <c r="XFC357"/>
      <c r="XFD357"/>
    </row>
    <row r="358" spans="2:3 16369:16384" s="10" customFormat="1" ht="24.95" customHeight="1" x14ac:dyDescent="0.2">
      <c r="B358" s="34"/>
      <c r="C358" s="9"/>
      <c r="XEO358"/>
      <c r="XEP358"/>
      <c r="XEQ358"/>
      <c r="XER358"/>
      <c r="XES358"/>
      <c r="XET358"/>
      <c r="XEU358"/>
      <c r="XEV358"/>
      <c r="XEW358"/>
      <c r="XEX358"/>
      <c r="XEY358"/>
      <c r="XEZ358"/>
      <c r="XFA358"/>
      <c r="XFB358"/>
      <c r="XFC358"/>
      <c r="XFD358"/>
    </row>
    <row r="359" spans="2:3 16369:16384" s="10" customFormat="1" ht="24.95" customHeight="1" x14ac:dyDescent="0.2">
      <c r="B359" s="34"/>
      <c r="C359" s="9"/>
      <c r="XEO359"/>
      <c r="XEP359"/>
      <c r="XEQ359"/>
      <c r="XER359"/>
      <c r="XES359"/>
      <c r="XET359"/>
      <c r="XEU359"/>
      <c r="XEV359"/>
      <c r="XEW359"/>
      <c r="XEX359"/>
      <c r="XEY359"/>
      <c r="XEZ359"/>
      <c r="XFA359"/>
      <c r="XFB359"/>
      <c r="XFC359"/>
      <c r="XFD359"/>
    </row>
    <row r="360" spans="2:3 16369:16384" s="10" customFormat="1" ht="24.95" customHeight="1" x14ac:dyDescent="0.2">
      <c r="B360" s="34"/>
      <c r="C360" s="9"/>
      <c r="XEO360"/>
      <c r="XEP360"/>
      <c r="XEQ360"/>
      <c r="XER360"/>
      <c r="XES360"/>
      <c r="XET360"/>
      <c r="XEU360"/>
      <c r="XEV360"/>
      <c r="XEW360"/>
      <c r="XEX360"/>
      <c r="XEY360"/>
      <c r="XEZ360"/>
      <c r="XFA360"/>
      <c r="XFB360"/>
      <c r="XFC360"/>
      <c r="XFD360"/>
    </row>
    <row r="361" spans="2:3 16369:16384" s="10" customFormat="1" ht="24.95" customHeight="1" x14ac:dyDescent="0.2">
      <c r="B361" s="34"/>
      <c r="C361" s="9"/>
      <c r="XEO361"/>
      <c r="XEP361"/>
      <c r="XEQ361"/>
      <c r="XER361"/>
      <c r="XES361"/>
      <c r="XET361"/>
      <c r="XEU361"/>
      <c r="XEV361"/>
      <c r="XEW361"/>
      <c r="XEX361"/>
      <c r="XEY361"/>
      <c r="XEZ361"/>
      <c r="XFA361"/>
      <c r="XFB361"/>
      <c r="XFC361"/>
      <c r="XFD361"/>
    </row>
    <row r="362" spans="2:3 16369:16384" s="10" customFormat="1" ht="24.95" customHeight="1" x14ac:dyDescent="0.2">
      <c r="B362" s="34"/>
      <c r="C362" s="9"/>
      <c r="XEO362"/>
      <c r="XEP362"/>
      <c r="XEQ362"/>
      <c r="XER362"/>
      <c r="XES362"/>
      <c r="XET362"/>
      <c r="XEU362"/>
      <c r="XEV362"/>
      <c r="XEW362"/>
      <c r="XEX362"/>
      <c r="XEY362"/>
      <c r="XEZ362"/>
      <c r="XFA362"/>
      <c r="XFB362"/>
      <c r="XFC362"/>
      <c r="XFD362"/>
    </row>
    <row r="363" spans="2:3 16369:16384" s="10" customFormat="1" ht="24.95" customHeight="1" x14ac:dyDescent="0.2">
      <c r="B363" s="34"/>
      <c r="C363" s="9"/>
      <c r="XEO363"/>
      <c r="XEP363"/>
      <c r="XEQ363"/>
      <c r="XER363"/>
      <c r="XES363"/>
      <c r="XET363"/>
      <c r="XEU363"/>
      <c r="XEV363"/>
      <c r="XEW363"/>
      <c r="XEX363"/>
      <c r="XEY363"/>
      <c r="XEZ363"/>
      <c r="XFA363"/>
      <c r="XFB363"/>
      <c r="XFC363"/>
      <c r="XFD363"/>
    </row>
    <row r="364" spans="2:3 16369:16384" s="10" customFormat="1" ht="24.95" customHeight="1" x14ac:dyDescent="0.2">
      <c r="B364" s="34"/>
      <c r="C364" s="9"/>
      <c r="XEO364"/>
      <c r="XEP364"/>
      <c r="XEQ364"/>
      <c r="XER364"/>
      <c r="XES364"/>
      <c r="XET364"/>
      <c r="XEU364"/>
      <c r="XEV364"/>
      <c r="XEW364"/>
      <c r="XEX364"/>
      <c r="XEY364"/>
      <c r="XEZ364"/>
      <c r="XFA364"/>
      <c r="XFB364"/>
      <c r="XFC364"/>
      <c r="XFD364"/>
    </row>
    <row r="365" spans="2:3 16369:16384" s="10" customFormat="1" ht="24.95" customHeight="1" x14ac:dyDescent="0.2">
      <c r="B365" s="34"/>
      <c r="C365" s="9"/>
      <c r="XEO365"/>
      <c r="XEP365"/>
      <c r="XEQ365"/>
      <c r="XER365"/>
      <c r="XES365"/>
      <c r="XET365"/>
      <c r="XEU365"/>
      <c r="XEV365"/>
      <c r="XEW365"/>
      <c r="XEX365"/>
      <c r="XEY365"/>
      <c r="XEZ365"/>
      <c r="XFA365"/>
      <c r="XFB365"/>
      <c r="XFC365"/>
      <c r="XFD365"/>
    </row>
    <row r="366" spans="2:3 16369:16384" s="10" customFormat="1" ht="24.95" customHeight="1" x14ac:dyDescent="0.2">
      <c r="B366" s="34"/>
      <c r="C366" s="9"/>
      <c r="XEO366"/>
      <c r="XEP366"/>
      <c r="XEQ366"/>
      <c r="XER366"/>
      <c r="XES366"/>
      <c r="XET366"/>
      <c r="XEU366"/>
      <c r="XEV366"/>
      <c r="XEW366"/>
      <c r="XEX366"/>
      <c r="XEY366"/>
      <c r="XEZ366"/>
      <c r="XFA366"/>
      <c r="XFB366"/>
      <c r="XFC366"/>
      <c r="XFD366"/>
    </row>
    <row r="367" spans="2:3 16369:16384" s="10" customFormat="1" ht="24.95" customHeight="1" x14ac:dyDescent="0.2">
      <c r="B367" s="34"/>
      <c r="C367" s="9"/>
      <c r="XEO367"/>
      <c r="XEP367"/>
      <c r="XEQ367"/>
      <c r="XER367"/>
      <c r="XES367"/>
      <c r="XET367"/>
      <c r="XEU367"/>
      <c r="XEV367"/>
      <c r="XEW367"/>
      <c r="XEX367"/>
      <c r="XEY367"/>
      <c r="XEZ367"/>
      <c r="XFA367"/>
      <c r="XFB367"/>
      <c r="XFC367"/>
      <c r="XFD367"/>
    </row>
    <row r="368" spans="2:3 16369:16384" s="10" customFormat="1" ht="24.95" customHeight="1" x14ac:dyDescent="0.2">
      <c r="B368" s="34"/>
      <c r="C368" s="9"/>
      <c r="XEO368"/>
      <c r="XEP368"/>
      <c r="XEQ368"/>
      <c r="XER368"/>
      <c r="XES368"/>
      <c r="XET368"/>
      <c r="XEU368"/>
      <c r="XEV368"/>
      <c r="XEW368"/>
      <c r="XEX368"/>
      <c r="XEY368"/>
      <c r="XEZ368"/>
      <c r="XFA368"/>
      <c r="XFB368"/>
      <c r="XFC368"/>
      <c r="XFD368"/>
    </row>
    <row r="369" spans="2:3 16369:16384" s="10" customFormat="1" ht="24.95" customHeight="1" x14ac:dyDescent="0.2">
      <c r="B369" s="34"/>
      <c r="C369" s="9"/>
      <c r="XEO369"/>
      <c r="XEP369"/>
      <c r="XEQ369"/>
      <c r="XER369"/>
      <c r="XES369"/>
      <c r="XET369"/>
      <c r="XEU369"/>
      <c r="XEV369"/>
      <c r="XEW369"/>
      <c r="XEX369"/>
      <c r="XEY369"/>
      <c r="XEZ369"/>
      <c r="XFA369"/>
      <c r="XFB369"/>
      <c r="XFC369"/>
      <c r="XFD369"/>
    </row>
    <row r="370" spans="2:3 16369:16384" s="10" customFormat="1" ht="24.95" customHeight="1" x14ac:dyDescent="0.2">
      <c r="B370" s="34"/>
      <c r="C370" s="9"/>
      <c r="XEO370"/>
      <c r="XEP370"/>
      <c r="XEQ370"/>
      <c r="XER370"/>
      <c r="XES370"/>
      <c r="XET370"/>
      <c r="XEU370"/>
      <c r="XEV370"/>
      <c r="XEW370"/>
      <c r="XEX370"/>
      <c r="XEY370"/>
      <c r="XEZ370"/>
      <c r="XFA370"/>
      <c r="XFB370"/>
      <c r="XFC370"/>
      <c r="XFD370"/>
    </row>
    <row r="371" spans="2:3 16369:16384" s="10" customFormat="1" ht="24.95" customHeight="1" x14ac:dyDescent="0.2">
      <c r="B371" s="34"/>
      <c r="C371" s="9"/>
      <c r="XEO371"/>
      <c r="XEP371"/>
      <c r="XEQ371"/>
      <c r="XER371"/>
      <c r="XES371"/>
      <c r="XET371"/>
      <c r="XEU371"/>
      <c r="XEV371"/>
      <c r="XEW371"/>
      <c r="XEX371"/>
      <c r="XEY371"/>
      <c r="XEZ371"/>
      <c r="XFA371"/>
      <c r="XFB371"/>
      <c r="XFC371"/>
      <c r="XFD371"/>
    </row>
    <row r="372" spans="2:3 16369:16384" s="10" customFormat="1" ht="24.95" customHeight="1" x14ac:dyDescent="0.2">
      <c r="B372" s="34"/>
      <c r="C372" s="9"/>
      <c r="XEO372"/>
      <c r="XEP372"/>
      <c r="XEQ372"/>
      <c r="XER372"/>
      <c r="XES372"/>
      <c r="XET372"/>
      <c r="XEU372"/>
      <c r="XEV372"/>
      <c r="XEW372"/>
      <c r="XEX372"/>
      <c r="XEY372"/>
      <c r="XEZ372"/>
      <c r="XFA372"/>
      <c r="XFB372"/>
      <c r="XFC372"/>
      <c r="XFD372"/>
    </row>
    <row r="373" spans="2:3 16369:16384" s="10" customFormat="1" ht="24.95" customHeight="1" x14ac:dyDescent="0.2">
      <c r="B373" s="34"/>
      <c r="C373" s="9"/>
      <c r="XEO373"/>
      <c r="XEP373"/>
      <c r="XEQ373"/>
      <c r="XER373"/>
      <c r="XES373"/>
      <c r="XET373"/>
      <c r="XEU373"/>
      <c r="XEV373"/>
      <c r="XEW373"/>
      <c r="XEX373"/>
      <c r="XEY373"/>
      <c r="XEZ373"/>
      <c r="XFA373"/>
      <c r="XFB373"/>
      <c r="XFC373"/>
      <c r="XFD373"/>
    </row>
    <row r="374" spans="2:3 16369:16384" s="10" customFormat="1" ht="24.95" customHeight="1" x14ac:dyDescent="0.2">
      <c r="B374" s="34"/>
      <c r="C374" s="9"/>
      <c r="XEO374"/>
      <c r="XEP374"/>
      <c r="XEQ374"/>
      <c r="XER374"/>
      <c r="XES374"/>
      <c r="XET374"/>
      <c r="XEU374"/>
      <c r="XEV374"/>
      <c r="XEW374"/>
      <c r="XEX374"/>
      <c r="XEY374"/>
      <c r="XEZ374"/>
      <c r="XFA374"/>
      <c r="XFB374"/>
      <c r="XFC374"/>
      <c r="XFD374"/>
    </row>
    <row r="375" spans="2:3 16369:16384" s="10" customFormat="1" ht="24.95" customHeight="1" x14ac:dyDescent="0.2">
      <c r="B375" s="34"/>
      <c r="C375" s="9"/>
      <c r="XEO375"/>
      <c r="XEP375"/>
      <c r="XEQ375"/>
      <c r="XER375"/>
      <c r="XES375"/>
      <c r="XET375"/>
      <c r="XEU375"/>
      <c r="XEV375"/>
      <c r="XEW375"/>
      <c r="XEX375"/>
      <c r="XEY375"/>
      <c r="XEZ375"/>
      <c r="XFA375"/>
      <c r="XFB375"/>
      <c r="XFC375"/>
      <c r="XFD375"/>
    </row>
    <row r="376" spans="2:3 16369:16384" s="10" customFormat="1" ht="24.95" customHeight="1" x14ac:dyDescent="0.2">
      <c r="B376" s="34"/>
      <c r="C376" s="9"/>
      <c r="XEO376"/>
      <c r="XEP376"/>
      <c r="XEQ376"/>
      <c r="XER376"/>
      <c r="XES376"/>
      <c r="XET376"/>
      <c r="XEU376"/>
      <c r="XEV376"/>
      <c r="XEW376"/>
      <c r="XEX376"/>
      <c r="XEY376"/>
      <c r="XEZ376"/>
      <c r="XFA376"/>
      <c r="XFB376"/>
      <c r="XFC376"/>
      <c r="XFD376"/>
    </row>
    <row r="377" spans="2:3 16369:16384" s="10" customFormat="1" ht="24.95" customHeight="1" x14ac:dyDescent="0.2">
      <c r="B377" s="34"/>
      <c r="C377" s="9"/>
      <c r="XEO377"/>
      <c r="XEP377"/>
      <c r="XEQ377"/>
      <c r="XER377"/>
      <c r="XES377"/>
      <c r="XET377"/>
      <c r="XEU377"/>
      <c r="XEV377"/>
      <c r="XEW377"/>
      <c r="XEX377"/>
      <c r="XEY377"/>
      <c r="XEZ377"/>
      <c r="XFA377"/>
      <c r="XFB377"/>
      <c r="XFC377"/>
      <c r="XFD377"/>
    </row>
    <row r="378" spans="2:3 16369:16384" s="10" customFormat="1" ht="24.95" customHeight="1" x14ac:dyDescent="0.2">
      <c r="B378" s="34"/>
      <c r="C378" s="9"/>
      <c r="XEO378"/>
      <c r="XEP378"/>
      <c r="XEQ378"/>
      <c r="XER378"/>
      <c r="XES378"/>
      <c r="XET378"/>
      <c r="XEU378"/>
      <c r="XEV378"/>
      <c r="XEW378"/>
      <c r="XEX378"/>
      <c r="XEY378"/>
      <c r="XEZ378"/>
      <c r="XFA378"/>
      <c r="XFB378"/>
      <c r="XFC378"/>
      <c r="XFD378"/>
    </row>
    <row r="379" spans="2:3 16369:16384" s="10" customFormat="1" ht="24.95" customHeight="1" x14ac:dyDescent="0.2">
      <c r="B379" s="34"/>
      <c r="C379" s="9"/>
      <c r="XEO379"/>
      <c r="XEP379"/>
      <c r="XEQ379"/>
      <c r="XER379"/>
      <c r="XES379"/>
      <c r="XET379"/>
      <c r="XEU379"/>
      <c r="XEV379"/>
      <c r="XEW379"/>
      <c r="XEX379"/>
      <c r="XEY379"/>
      <c r="XEZ379"/>
      <c r="XFA379"/>
      <c r="XFB379"/>
      <c r="XFC379"/>
      <c r="XFD379"/>
    </row>
    <row r="380" spans="2:3 16369:16384" s="10" customFormat="1" ht="24.95" customHeight="1" x14ac:dyDescent="0.2">
      <c r="B380" s="34"/>
      <c r="C380" s="9"/>
      <c r="XEO380"/>
      <c r="XEP380"/>
      <c r="XEQ380"/>
      <c r="XER380"/>
      <c r="XES380"/>
      <c r="XET380"/>
      <c r="XEU380"/>
      <c r="XEV380"/>
      <c r="XEW380"/>
      <c r="XEX380"/>
      <c r="XEY380"/>
      <c r="XEZ380"/>
      <c r="XFA380"/>
      <c r="XFB380"/>
      <c r="XFC380"/>
      <c r="XFD380"/>
    </row>
    <row r="381" spans="2:3 16369:16384" s="10" customFormat="1" ht="24.95" customHeight="1" x14ac:dyDescent="0.2">
      <c r="B381" s="34"/>
      <c r="C381" s="9"/>
      <c r="XEO381"/>
      <c r="XEP381"/>
      <c r="XEQ381"/>
      <c r="XER381"/>
      <c r="XES381"/>
      <c r="XET381"/>
      <c r="XEU381"/>
      <c r="XEV381"/>
      <c r="XEW381"/>
      <c r="XEX381"/>
      <c r="XEY381"/>
      <c r="XEZ381"/>
      <c r="XFA381"/>
      <c r="XFB381"/>
      <c r="XFC381"/>
      <c r="XFD381"/>
    </row>
    <row r="382" spans="2:3 16369:16384" s="10" customFormat="1" ht="24.95" customHeight="1" x14ac:dyDescent="0.2">
      <c r="B382" s="34"/>
      <c r="C382" s="9"/>
      <c r="XEO382"/>
      <c r="XEP382"/>
      <c r="XEQ382"/>
      <c r="XER382"/>
      <c r="XES382"/>
      <c r="XET382"/>
      <c r="XEU382"/>
      <c r="XEV382"/>
      <c r="XEW382"/>
      <c r="XEX382"/>
      <c r="XEY382"/>
      <c r="XEZ382"/>
      <c r="XFA382"/>
      <c r="XFB382"/>
      <c r="XFC382"/>
      <c r="XFD382"/>
    </row>
    <row r="383" spans="2:3 16369:16384" s="10" customFormat="1" ht="24.95" customHeight="1" x14ac:dyDescent="0.2">
      <c r="B383" s="34"/>
      <c r="C383" s="9"/>
      <c r="XEO383"/>
      <c r="XEP383"/>
      <c r="XEQ383"/>
      <c r="XER383"/>
      <c r="XES383"/>
      <c r="XET383"/>
      <c r="XEU383"/>
      <c r="XEV383"/>
      <c r="XEW383"/>
      <c r="XEX383"/>
      <c r="XEY383"/>
      <c r="XEZ383"/>
      <c r="XFA383"/>
      <c r="XFB383"/>
      <c r="XFC383"/>
      <c r="XFD383"/>
    </row>
    <row r="384" spans="2:3 16369:16384" s="10" customFormat="1" ht="24.95" customHeight="1" x14ac:dyDescent="0.2">
      <c r="B384" s="34"/>
      <c r="C384" s="9"/>
      <c r="XEO384"/>
      <c r="XEP384"/>
      <c r="XEQ384"/>
      <c r="XER384"/>
      <c r="XES384"/>
      <c r="XET384"/>
      <c r="XEU384"/>
      <c r="XEV384"/>
      <c r="XEW384"/>
      <c r="XEX384"/>
      <c r="XEY384"/>
      <c r="XEZ384"/>
      <c r="XFA384"/>
      <c r="XFB384"/>
      <c r="XFC384"/>
      <c r="XFD384"/>
    </row>
    <row r="385" spans="2:3 16369:16384" s="10" customFormat="1" ht="24.95" customHeight="1" x14ac:dyDescent="0.2">
      <c r="B385" s="34"/>
      <c r="C385" s="9"/>
      <c r="XEO385"/>
      <c r="XEP385"/>
      <c r="XEQ385"/>
      <c r="XER385"/>
      <c r="XES385"/>
      <c r="XET385"/>
      <c r="XEU385"/>
      <c r="XEV385"/>
      <c r="XEW385"/>
      <c r="XEX385"/>
      <c r="XEY385"/>
      <c r="XEZ385"/>
      <c r="XFA385"/>
      <c r="XFB385"/>
      <c r="XFC385"/>
      <c r="XFD385"/>
    </row>
    <row r="386" spans="2:3 16369:16384" s="10" customFormat="1" ht="24.95" customHeight="1" x14ac:dyDescent="0.2">
      <c r="B386" s="34"/>
      <c r="C386" s="9"/>
      <c r="XEO386"/>
      <c r="XEP386"/>
      <c r="XEQ386"/>
      <c r="XER386"/>
      <c r="XES386"/>
      <c r="XET386"/>
      <c r="XEU386"/>
      <c r="XEV386"/>
      <c r="XEW386"/>
      <c r="XEX386"/>
      <c r="XEY386"/>
      <c r="XEZ386"/>
      <c r="XFA386"/>
      <c r="XFB386"/>
      <c r="XFC386"/>
      <c r="XFD386"/>
    </row>
    <row r="387" spans="2:3 16369:16384" s="10" customFormat="1" ht="24.95" customHeight="1" x14ac:dyDescent="0.2">
      <c r="B387" s="34"/>
      <c r="C387" s="9"/>
      <c r="XEO387"/>
      <c r="XEP387"/>
      <c r="XEQ387"/>
      <c r="XER387"/>
      <c r="XES387"/>
      <c r="XET387"/>
      <c r="XEU387"/>
      <c r="XEV387"/>
      <c r="XEW387"/>
      <c r="XEX387"/>
      <c r="XEY387"/>
      <c r="XEZ387"/>
      <c r="XFA387"/>
      <c r="XFB387"/>
      <c r="XFC387"/>
      <c r="XFD387"/>
    </row>
    <row r="388" spans="2:3 16369:16384" s="10" customFormat="1" ht="24.95" customHeight="1" x14ac:dyDescent="0.2">
      <c r="B388" s="34"/>
      <c r="C388" s="9"/>
      <c r="XEO388"/>
      <c r="XEP388"/>
      <c r="XEQ388"/>
      <c r="XER388"/>
      <c r="XES388"/>
      <c r="XET388"/>
      <c r="XEU388"/>
      <c r="XEV388"/>
      <c r="XEW388"/>
      <c r="XEX388"/>
      <c r="XEY388"/>
      <c r="XEZ388"/>
      <c r="XFA388"/>
      <c r="XFB388"/>
      <c r="XFC388"/>
      <c r="XFD388"/>
    </row>
    <row r="389" spans="2:3 16369:16384" s="10" customFormat="1" ht="24.95" customHeight="1" x14ac:dyDescent="0.2">
      <c r="B389" s="34"/>
      <c r="C389" s="9"/>
      <c r="XEO389"/>
      <c r="XEP389"/>
      <c r="XEQ389"/>
      <c r="XER389"/>
      <c r="XES389"/>
      <c r="XET389"/>
      <c r="XEU389"/>
      <c r="XEV389"/>
      <c r="XEW389"/>
      <c r="XEX389"/>
      <c r="XEY389"/>
      <c r="XEZ389"/>
      <c r="XFA389"/>
      <c r="XFB389"/>
      <c r="XFC389"/>
      <c r="XFD389"/>
    </row>
    <row r="390" spans="2:3 16369:16384" s="10" customFormat="1" ht="24.95" customHeight="1" x14ac:dyDescent="0.2">
      <c r="B390" s="34"/>
      <c r="C390" s="9"/>
      <c r="XEO390"/>
      <c r="XEP390"/>
      <c r="XEQ390"/>
      <c r="XER390"/>
      <c r="XES390"/>
      <c r="XET390"/>
      <c r="XEU390"/>
      <c r="XEV390"/>
      <c r="XEW390"/>
      <c r="XEX390"/>
      <c r="XEY390"/>
      <c r="XEZ390"/>
      <c r="XFA390"/>
      <c r="XFB390"/>
      <c r="XFC390"/>
      <c r="XFD390"/>
    </row>
    <row r="391" spans="2:3 16369:16384" s="10" customFormat="1" ht="24.95" customHeight="1" x14ac:dyDescent="0.2">
      <c r="B391" s="34"/>
      <c r="C391" s="9"/>
      <c r="XEO391"/>
      <c r="XEP391"/>
      <c r="XEQ391"/>
      <c r="XER391"/>
      <c r="XES391"/>
      <c r="XET391"/>
      <c r="XEU391"/>
      <c r="XEV391"/>
      <c r="XEW391"/>
      <c r="XEX391"/>
      <c r="XEY391"/>
      <c r="XEZ391"/>
      <c r="XFA391"/>
      <c r="XFB391"/>
      <c r="XFC391"/>
      <c r="XFD391"/>
    </row>
    <row r="392" spans="2:3 16369:16384" s="10" customFormat="1" ht="24.95" customHeight="1" x14ac:dyDescent="0.2">
      <c r="B392" s="34"/>
      <c r="C392" s="9"/>
      <c r="XEO392"/>
      <c r="XEP392"/>
      <c r="XEQ392"/>
      <c r="XER392"/>
      <c r="XES392"/>
      <c r="XET392"/>
      <c r="XEU392"/>
      <c r="XEV392"/>
      <c r="XEW392"/>
      <c r="XEX392"/>
      <c r="XEY392"/>
      <c r="XEZ392"/>
      <c r="XFA392"/>
      <c r="XFB392"/>
      <c r="XFC392"/>
      <c r="XFD392"/>
    </row>
  </sheetData>
  <sheetProtection algorithmName="SHA-512" hashValue="omAFIYrdGUg4fifP8bVCL71O96WxTR37xzAtUlcacifzIpcVuny3FvGtpLA+SmevgZKjPgwnGyLVuFWznV7FLQ==" saltValue="GCyHpthm1u3toVwzOgmXrw==" spinCount="100000" objects="1" scenarios="1"/>
  <phoneticPr fontId="16" type="noConversion"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>
                <anchor>
                  <from>
                    <xdr:col>15937</xdr:col>
                    <xdr:colOff>295275</xdr:colOff>
                    <xdr:row>1</xdr:row>
                    <xdr:rowOff>95250</xdr:rowOff>
                  </from>
                  <to>
                    <xdr:col>15937</xdr:col>
                    <xdr:colOff>295275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>
                <anchor>
                  <from>
                    <xdr:col>15937</xdr:col>
                    <xdr:colOff>295275</xdr:colOff>
                    <xdr:row>1</xdr:row>
                    <xdr:rowOff>95250</xdr:rowOff>
                  </from>
                  <to>
                    <xdr:col>15937</xdr:col>
                    <xdr:colOff>295275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Button 11">
              <controlPr defaultSize="0" print="0" autoFill="0" autoPict="0">
                <anchor>
                  <from>
                    <xdr:col>15937</xdr:col>
                    <xdr:colOff>295275</xdr:colOff>
                    <xdr:row>1</xdr:row>
                    <xdr:rowOff>95250</xdr:rowOff>
                  </from>
                  <to>
                    <xdr:col>15937</xdr:col>
                    <xdr:colOff>295275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4" name="Button 12">
              <controlPr defaultSize="0" print="0" autoFill="0" autoPict="0">
                <anchor>
                  <from>
                    <xdr:col>15937</xdr:col>
                    <xdr:colOff>295275</xdr:colOff>
                    <xdr:row>1</xdr:row>
                    <xdr:rowOff>95250</xdr:rowOff>
                  </from>
                  <to>
                    <xdr:col>15937</xdr:col>
                    <xdr:colOff>295275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5" name="Button 13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6" name="Button 14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6F848-E1B7-414C-8E3B-B43ECC274BE9}">
  <sheetPr codeName="Planilha5"/>
  <dimension ref="B1:AC586"/>
  <sheetViews>
    <sheetView showGridLines="0" showRowColHeaders="0" showZeros="0" tabSelected="1" topLeftCell="B1" zoomScaleNormal="100" workbookViewId="0">
      <selection activeCell="N12" sqref="N12"/>
    </sheetView>
  </sheetViews>
  <sheetFormatPr defaultColWidth="9.140625" defaultRowHeight="12.75" x14ac:dyDescent="0.2"/>
  <cols>
    <col min="1" max="1" width="0" hidden="1" customWidth="1"/>
    <col min="2" max="2" width="1.42578125" style="8" customWidth="1"/>
    <col min="3" max="3" width="0" style="8" hidden="1" customWidth="1"/>
    <col min="4" max="4" width="0" hidden="1" customWidth="1"/>
    <col min="5" max="5" width="33.5703125" customWidth="1"/>
    <col min="6" max="12" width="21.28515625" customWidth="1"/>
    <col min="13" max="13" width="26" customWidth="1"/>
    <col min="14" max="14" width="22.7109375" customWidth="1"/>
    <col min="16" max="16" width="10.7109375" bestFit="1" customWidth="1"/>
    <col min="22" max="23" width="11.28515625" customWidth="1"/>
  </cols>
  <sheetData>
    <row r="1" spans="12:29" s="36" customFormat="1" ht="55.5" customHeight="1" x14ac:dyDescent="0.25">
      <c r="L1" s="37"/>
      <c r="M1" s="37"/>
      <c r="P1" s="37"/>
      <c r="Q1" s="38"/>
      <c r="R1" s="38"/>
      <c r="S1" s="37"/>
      <c r="T1" s="37"/>
      <c r="U1" s="37"/>
      <c r="V1" s="38"/>
      <c r="W1" s="38"/>
      <c r="X1" s="37"/>
      <c r="Y1" s="38"/>
      <c r="Z1" s="38"/>
      <c r="AA1" s="38"/>
      <c r="AB1" s="38"/>
      <c r="AC1" s="38"/>
    </row>
    <row r="2" spans="12:29" s="39" customFormat="1" ht="10.5" customHeight="1" x14ac:dyDescent="0.25">
      <c r="L2" s="40"/>
      <c r="M2" s="40"/>
      <c r="P2" s="40"/>
      <c r="Q2" s="41"/>
      <c r="R2" s="41"/>
      <c r="S2" s="40"/>
      <c r="T2" s="40"/>
      <c r="U2" s="40"/>
      <c r="V2" s="41"/>
      <c r="W2" s="41"/>
      <c r="X2" s="40"/>
      <c r="Y2" s="41"/>
      <c r="Z2" s="41"/>
      <c r="AA2" s="41"/>
      <c r="AB2" s="41"/>
      <c r="AC2" s="41"/>
    </row>
    <row r="3" spans="12:29" s="8" customFormat="1" x14ac:dyDescent="0.2"/>
    <row r="4" spans="12:29" s="8" customFormat="1" x14ac:dyDescent="0.2"/>
    <row r="5" spans="12:29" s="8" customFormat="1" x14ac:dyDescent="0.2"/>
    <row r="6" spans="12:29" s="8" customFormat="1" x14ac:dyDescent="0.2"/>
    <row r="7" spans="12:29" s="8" customFormat="1" x14ac:dyDescent="0.2"/>
    <row r="8" spans="12:29" s="8" customFormat="1" x14ac:dyDescent="0.2"/>
    <row r="9" spans="12:29" s="8" customFormat="1" x14ac:dyDescent="0.2"/>
    <row r="10" spans="12:29" s="8" customFormat="1" x14ac:dyDescent="0.2"/>
    <row r="11" spans="12:29" s="8" customFormat="1" x14ac:dyDescent="0.2"/>
    <row r="12" spans="12:29" s="8" customFormat="1" x14ac:dyDescent="0.2"/>
    <row r="13" spans="12:29" s="8" customFormat="1" x14ac:dyDescent="0.2"/>
    <row r="14" spans="12:29" s="8" customFormat="1" x14ac:dyDescent="0.2"/>
    <row r="15" spans="12:29" s="8" customFormat="1" x14ac:dyDescent="0.2"/>
    <row r="16" spans="12:29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  <row r="45" s="8" customFormat="1" x14ac:dyDescent="0.2"/>
    <row r="46" s="8" customFormat="1" x14ac:dyDescent="0.2"/>
    <row r="47" s="8" customFormat="1" x14ac:dyDescent="0.2"/>
    <row r="48" s="8" customFormat="1" x14ac:dyDescent="0.2"/>
    <row r="49" s="8" customFormat="1" x14ac:dyDescent="0.2"/>
    <row r="50" s="8" customFormat="1" x14ac:dyDescent="0.2"/>
    <row r="51" s="8" customFormat="1" x14ac:dyDescent="0.2"/>
    <row r="52" s="8" customFormat="1" x14ac:dyDescent="0.2"/>
    <row r="53" s="8" customFormat="1" x14ac:dyDescent="0.2"/>
    <row r="54" s="8" customFormat="1" x14ac:dyDescent="0.2"/>
    <row r="55" s="8" customFormat="1" x14ac:dyDescent="0.2"/>
    <row r="56" s="8" customFormat="1" x14ac:dyDescent="0.2"/>
    <row r="57" s="8" customFormat="1" x14ac:dyDescent="0.2"/>
    <row r="58" s="8" customFormat="1" x14ac:dyDescent="0.2"/>
    <row r="59" s="8" customFormat="1" x14ac:dyDescent="0.2"/>
    <row r="60" s="8" customFormat="1" x14ac:dyDescent="0.2"/>
    <row r="61" s="8" customFormat="1" x14ac:dyDescent="0.2"/>
    <row r="62" s="8" customFormat="1" x14ac:dyDescent="0.2"/>
    <row r="63" s="8" customFormat="1" x14ac:dyDescent="0.2"/>
    <row r="64" s="8" customFormat="1" x14ac:dyDescent="0.2"/>
    <row r="65" s="8" customFormat="1" x14ac:dyDescent="0.2"/>
    <row r="66" s="8" customFormat="1" x14ac:dyDescent="0.2"/>
    <row r="67" s="8" customFormat="1" x14ac:dyDescent="0.2"/>
    <row r="68" s="8" customFormat="1" x14ac:dyDescent="0.2"/>
    <row r="69" s="8" customFormat="1" x14ac:dyDescent="0.2"/>
    <row r="70" s="8" customFormat="1" x14ac:dyDescent="0.2"/>
    <row r="71" s="8" customFormat="1" x14ac:dyDescent="0.2"/>
    <row r="72" s="8" customFormat="1" x14ac:dyDescent="0.2"/>
    <row r="73" s="8" customFormat="1" x14ac:dyDescent="0.2"/>
    <row r="74" s="8" customFormat="1" x14ac:dyDescent="0.2"/>
    <row r="75" s="8" customFormat="1" x14ac:dyDescent="0.2"/>
    <row r="76" s="8" customFormat="1" x14ac:dyDescent="0.2"/>
    <row r="77" s="8" customFormat="1" x14ac:dyDescent="0.2"/>
    <row r="78" s="8" customFormat="1" x14ac:dyDescent="0.2"/>
    <row r="79" s="8" customFormat="1" x14ac:dyDescent="0.2"/>
    <row r="80" s="8" customFormat="1" x14ac:dyDescent="0.2"/>
    <row r="81" s="8" customFormat="1" x14ac:dyDescent="0.2"/>
    <row r="82" s="8" customFormat="1" x14ac:dyDescent="0.2"/>
    <row r="83" s="8" customFormat="1" x14ac:dyDescent="0.2"/>
    <row r="84" s="8" customFormat="1" x14ac:dyDescent="0.2"/>
    <row r="85" s="8" customFormat="1" x14ac:dyDescent="0.2"/>
    <row r="86" s="8" customFormat="1" x14ac:dyDescent="0.2"/>
    <row r="87" s="8" customFormat="1" x14ac:dyDescent="0.2"/>
    <row r="88" s="8" customFormat="1" x14ac:dyDescent="0.2"/>
    <row r="89" s="8" customFormat="1" x14ac:dyDescent="0.2"/>
    <row r="90" s="8" customFormat="1" x14ac:dyDescent="0.2"/>
    <row r="91" s="8" customFormat="1" x14ac:dyDescent="0.2"/>
    <row r="92" s="8" customFormat="1" x14ac:dyDescent="0.2"/>
    <row r="93" s="8" customFormat="1" x14ac:dyDescent="0.2"/>
    <row r="94" s="8" customFormat="1" x14ac:dyDescent="0.2"/>
    <row r="95" s="8" customFormat="1" x14ac:dyDescent="0.2"/>
    <row r="96" s="8" customFormat="1" x14ac:dyDescent="0.2"/>
    <row r="97" s="8" customFormat="1" x14ac:dyDescent="0.2"/>
    <row r="98" s="8" customFormat="1" x14ac:dyDescent="0.2"/>
    <row r="99" s="8" customFormat="1" x14ac:dyDescent="0.2"/>
    <row r="100" s="8" customFormat="1" x14ac:dyDescent="0.2"/>
    <row r="101" s="8" customFormat="1" x14ac:dyDescent="0.2"/>
    <row r="102" s="8" customFormat="1" x14ac:dyDescent="0.2"/>
    <row r="103" s="8" customFormat="1" x14ac:dyDescent="0.2"/>
    <row r="104" s="8" customFormat="1" x14ac:dyDescent="0.2"/>
    <row r="105" s="8" customFormat="1" x14ac:dyDescent="0.2"/>
    <row r="106" s="8" customFormat="1" x14ac:dyDescent="0.2"/>
    <row r="107" s="8" customFormat="1" x14ac:dyDescent="0.2"/>
    <row r="108" s="8" customFormat="1" x14ac:dyDescent="0.2"/>
    <row r="109" s="8" customFormat="1" x14ac:dyDescent="0.2"/>
    <row r="110" s="8" customFormat="1" x14ac:dyDescent="0.2"/>
    <row r="111" s="8" customFormat="1" x14ac:dyDescent="0.2"/>
    <row r="112" s="8" customFormat="1" x14ac:dyDescent="0.2"/>
    <row r="113" s="8" customFormat="1" x14ac:dyDescent="0.2"/>
    <row r="114" s="8" customFormat="1" x14ac:dyDescent="0.2"/>
    <row r="115" s="8" customFormat="1" x14ac:dyDescent="0.2"/>
    <row r="116" s="8" customFormat="1" x14ac:dyDescent="0.2"/>
    <row r="117" s="8" customFormat="1" x14ac:dyDescent="0.2"/>
    <row r="118" s="8" customFormat="1" x14ac:dyDescent="0.2"/>
    <row r="119" s="8" customFormat="1" x14ac:dyDescent="0.2"/>
    <row r="120" s="8" customFormat="1" x14ac:dyDescent="0.2"/>
    <row r="121" s="8" customFormat="1" x14ac:dyDescent="0.2"/>
    <row r="122" s="8" customFormat="1" x14ac:dyDescent="0.2"/>
    <row r="123" s="8" customFormat="1" x14ac:dyDescent="0.2"/>
    <row r="124" s="8" customFormat="1" x14ac:dyDescent="0.2"/>
    <row r="125" s="8" customFormat="1" x14ac:dyDescent="0.2"/>
    <row r="126" s="8" customFormat="1" x14ac:dyDescent="0.2"/>
    <row r="127" s="8" customFormat="1" x14ac:dyDescent="0.2"/>
    <row r="128" s="8" customFormat="1" x14ac:dyDescent="0.2"/>
    <row r="129" s="8" customFormat="1" x14ac:dyDescent="0.2"/>
    <row r="130" s="8" customFormat="1" x14ac:dyDescent="0.2"/>
    <row r="131" s="8" customFormat="1" x14ac:dyDescent="0.2"/>
    <row r="132" s="8" customFormat="1" x14ac:dyDescent="0.2"/>
    <row r="133" s="8" customFormat="1" x14ac:dyDescent="0.2"/>
    <row r="134" s="8" customFormat="1" x14ac:dyDescent="0.2"/>
    <row r="135" s="8" customFormat="1" x14ac:dyDescent="0.2"/>
    <row r="136" s="8" customFormat="1" x14ac:dyDescent="0.2"/>
    <row r="137" s="8" customFormat="1" x14ac:dyDescent="0.2"/>
    <row r="138" s="8" customFormat="1" x14ac:dyDescent="0.2"/>
    <row r="139" s="8" customFormat="1" x14ac:dyDescent="0.2"/>
    <row r="140" s="8" customFormat="1" x14ac:dyDescent="0.2"/>
    <row r="141" s="8" customFormat="1" x14ac:dyDescent="0.2"/>
    <row r="142" s="8" customFormat="1" x14ac:dyDescent="0.2"/>
    <row r="143" s="8" customFormat="1" x14ac:dyDescent="0.2"/>
    <row r="144" s="8" customFormat="1" x14ac:dyDescent="0.2"/>
    <row r="145" s="8" customFormat="1" x14ac:dyDescent="0.2"/>
    <row r="146" s="8" customFormat="1" x14ac:dyDescent="0.2"/>
    <row r="147" s="8" customFormat="1" x14ac:dyDescent="0.2"/>
    <row r="148" s="8" customFormat="1" x14ac:dyDescent="0.2"/>
    <row r="149" s="8" customFormat="1" x14ac:dyDescent="0.2"/>
    <row r="150" s="8" customFormat="1" x14ac:dyDescent="0.2"/>
    <row r="151" s="8" customFormat="1" x14ac:dyDescent="0.2"/>
    <row r="152" s="8" customFormat="1" x14ac:dyDescent="0.2"/>
    <row r="153" s="8" customFormat="1" x14ac:dyDescent="0.2"/>
    <row r="154" s="8" customFormat="1" x14ac:dyDescent="0.2"/>
    <row r="155" s="8" customFormat="1" x14ac:dyDescent="0.2"/>
    <row r="156" s="8" customFormat="1" x14ac:dyDescent="0.2"/>
    <row r="157" s="8" customFormat="1" x14ac:dyDescent="0.2"/>
    <row r="158" s="8" customFormat="1" x14ac:dyDescent="0.2"/>
    <row r="159" s="8" customFormat="1" x14ac:dyDescent="0.2"/>
    <row r="160" s="8" customFormat="1" x14ac:dyDescent="0.2"/>
    <row r="161" s="8" customFormat="1" x14ac:dyDescent="0.2"/>
    <row r="162" s="8" customFormat="1" x14ac:dyDescent="0.2"/>
    <row r="163" s="8" customFormat="1" x14ac:dyDescent="0.2"/>
    <row r="164" s="8" customFormat="1" x14ac:dyDescent="0.2"/>
    <row r="165" s="8" customFormat="1" x14ac:dyDescent="0.2"/>
    <row r="166" s="8" customFormat="1" x14ac:dyDescent="0.2"/>
    <row r="167" s="8" customFormat="1" x14ac:dyDescent="0.2"/>
    <row r="168" s="8" customFormat="1" x14ac:dyDescent="0.2"/>
    <row r="169" s="8" customFormat="1" x14ac:dyDescent="0.2"/>
    <row r="170" s="8" customFormat="1" x14ac:dyDescent="0.2"/>
    <row r="171" s="8" customFormat="1" x14ac:dyDescent="0.2"/>
    <row r="172" s="8" customFormat="1" x14ac:dyDescent="0.2"/>
    <row r="173" s="8" customFormat="1" x14ac:dyDescent="0.2"/>
    <row r="174" s="8" customFormat="1" x14ac:dyDescent="0.2"/>
    <row r="175" s="8" customFormat="1" x14ac:dyDescent="0.2"/>
    <row r="176" s="8" customFormat="1" x14ac:dyDescent="0.2"/>
    <row r="177" s="8" customFormat="1" x14ac:dyDescent="0.2"/>
    <row r="178" s="8" customFormat="1" x14ac:dyDescent="0.2"/>
    <row r="179" s="8" customFormat="1" x14ac:dyDescent="0.2"/>
    <row r="180" s="8" customFormat="1" x14ac:dyDescent="0.2"/>
    <row r="181" s="8" customFormat="1" x14ac:dyDescent="0.2"/>
    <row r="182" s="8" customFormat="1" x14ac:dyDescent="0.2"/>
    <row r="183" s="8" customFormat="1" x14ac:dyDescent="0.2"/>
    <row r="184" s="8" customFormat="1" x14ac:dyDescent="0.2"/>
    <row r="185" s="8" customFormat="1" x14ac:dyDescent="0.2"/>
    <row r="186" s="8" customFormat="1" x14ac:dyDescent="0.2"/>
    <row r="187" s="8" customFormat="1" x14ac:dyDescent="0.2"/>
    <row r="188" s="8" customFormat="1" x14ac:dyDescent="0.2"/>
    <row r="189" s="8" customFormat="1" x14ac:dyDescent="0.2"/>
    <row r="190" s="8" customFormat="1" x14ac:dyDescent="0.2"/>
    <row r="191" s="8" customFormat="1" x14ac:dyDescent="0.2"/>
    <row r="192" s="8" customFormat="1" x14ac:dyDescent="0.2"/>
    <row r="193" s="8" customFormat="1" x14ac:dyDescent="0.2"/>
    <row r="194" s="8" customFormat="1" x14ac:dyDescent="0.2"/>
    <row r="195" s="8" customFormat="1" x14ac:dyDescent="0.2"/>
    <row r="196" s="8" customFormat="1" x14ac:dyDescent="0.2"/>
    <row r="197" s="8" customFormat="1" x14ac:dyDescent="0.2"/>
    <row r="198" s="8" customFormat="1" x14ac:dyDescent="0.2"/>
    <row r="199" s="8" customFormat="1" x14ac:dyDescent="0.2"/>
    <row r="200" s="8" customFormat="1" x14ac:dyDescent="0.2"/>
    <row r="201" s="8" customFormat="1" x14ac:dyDescent="0.2"/>
    <row r="202" s="8" customFormat="1" x14ac:dyDescent="0.2"/>
    <row r="203" s="8" customFormat="1" x14ac:dyDescent="0.2"/>
    <row r="204" s="8" customFormat="1" x14ac:dyDescent="0.2"/>
    <row r="205" s="8" customFormat="1" x14ac:dyDescent="0.2"/>
    <row r="206" s="8" customFormat="1" x14ac:dyDescent="0.2"/>
    <row r="207" s="8" customFormat="1" x14ac:dyDescent="0.2"/>
    <row r="208" s="8" customFormat="1" x14ac:dyDescent="0.2"/>
    <row r="209" s="8" customFormat="1" x14ac:dyDescent="0.2"/>
    <row r="210" s="8" customFormat="1" x14ac:dyDescent="0.2"/>
    <row r="211" s="8" customFormat="1" x14ac:dyDescent="0.2"/>
    <row r="212" s="8" customFormat="1" x14ac:dyDescent="0.2"/>
    <row r="213" s="8" customFormat="1" x14ac:dyDescent="0.2"/>
    <row r="214" s="8" customFormat="1" x14ac:dyDescent="0.2"/>
    <row r="215" s="8" customFormat="1" x14ac:dyDescent="0.2"/>
    <row r="216" s="8" customFormat="1" x14ac:dyDescent="0.2"/>
    <row r="217" s="8" customFormat="1" x14ac:dyDescent="0.2"/>
    <row r="218" s="8" customFormat="1" x14ac:dyDescent="0.2"/>
    <row r="219" s="8" customFormat="1" x14ac:dyDescent="0.2"/>
    <row r="220" s="8" customFormat="1" x14ac:dyDescent="0.2"/>
    <row r="221" s="8" customFormat="1" x14ac:dyDescent="0.2"/>
    <row r="222" s="8" customFormat="1" x14ac:dyDescent="0.2"/>
    <row r="223" s="8" customFormat="1" x14ac:dyDescent="0.2"/>
    <row r="224" s="8" customFormat="1" x14ac:dyDescent="0.2"/>
    <row r="225" s="8" customFormat="1" x14ac:dyDescent="0.2"/>
    <row r="226" s="8" customFormat="1" x14ac:dyDescent="0.2"/>
    <row r="227" s="8" customFormat="1" x14ac:dyDescent="0.2"/>
    <row r="228" s="8" customFormat="1" x14ac:dyDescent="0.2"/>
    <row r="229" s="8" customFormat="1" x14ac:dyDescent="0.2"/>
    <row r="230" s="8" customFormat="1" x14ac:dyDescent="0.2"/>
    <row r="231" s="8" customFormat="1" x14ac:dyDescent="0.2"/>
    <row r="232" s="8" customFormat="1" x14ac:dyDescent="0.2"/>
    <row r="233" s="8" customFormat="1" x14ac:dyDescent="0.2"/>
    <row r="234" s="8" customFormat="1" x14ac:dyDescent="0.2"/>
    <row r="235" s="8" customFormat="1" x14ac:dyDescent="0.2"/>
    <row r="236" s="8" customFormat="1" x14ac:dyDescent="0.2"/>
    <row r="237" s="8" customFormat="1" x14ac:dyDescent="0.2"/>
    <row r="238" s="8" customFormat="1" x14ac:dyDescent="0.2"/>
    <row r="239" s="8" customFormat="1" x14ac:dyDescent="0.2"/>
    <row r="240" s="8" customFormat="1" x14ac:dyDescent="0.2"/>
    <row r="241" s="8" customFormat="1" x14ac:dyDescent="0.2"/>
    <row r="242" s="8" customFormat="1" x14ac:dyDescent="0.2"/>
    <row r="243" s="8" customFormat="1" x14ac:dyDescent="0.2"/>
    <row r="244" s="8" customFormat="1" x14ac:dyDescent="0.2"/>
    <row r="245" s="8" customFormat="1" x14ac:dyDescent="0.2"/>
    <row r="246" s="8" customFormat="1" x14ac:dyDescent="0.2"/>
    <row r="247" s="8" customFormat="1" x14ac:dyDescent="0.2"/>
    <row r="248" s="8" customFormat="1" x14ac:dyDescent="0.2"/>
    <row r="249" s="8" customFormat="1" x14ac:dyDescent="0.2"/>
    <row r="250" s="8" customFormat="1" x14ac:dyDescent="0.2"/>
    <row r="251" s="8" customFormat="1" x14ac:dyDescent="0.2"/>
    <row r="252" s="8" customFormat="1" x14ac:dyDescent="0.2"/>
    <row r="253" s="8" customFormat="1" x14ac:dyDescent="0.2"/>
    <row r="254" s="8" customFormat="1" x14ac:dyDescent="0.2"/>
    <row r="255" s="8" customFormat="1" x14ac:dyDescent="0.2"/>
    <row r="256" s="8" customFormat="1" x14ac:dyDescent="0.2"/>
    <row r="257" s="8" customFormat="1" x14ac:dyDescent="0.2"/>
    <row r="258" s="8" customFormat="1" x14ac:dyDescent="0.2"/>
    <row r="259" s="8" customFormat="1" x14ac:dyDescent="0.2"/>
    <row r="260" s="8" customFormat="1" x14ac:dyDescent="0.2"/>
    <row r="261" s="8" customFormat="1" x14ac:dyDescent="0.2"/>
    <row r="262" s="8" customFormat="1" x14ac:dyDescent="0.2"/>
    <row r="263" s="8" customFormat="1" x14ac:dyDescent="0.2"/>
    <row r="264" s="8" customFormat="1" x14ac:dyDescent="0.2"/>
    <row r="265" s="8" customFormat="1" x14ac:dyDescent="0.2"/>
    <row r="266" s="8" customFormat="1" x14ac:dyDescent="0.2"/>
    <row r="267" s="8" customFormat="1" x14ac:dyDescent="0.2"/>
    <row r="268" s="8" customFormat="1" x14ac:dyDescent="0.2"/>
    <row r="269" s="8" customFormat="1" x14ac:dyDescent="0.2"/>
    <row r="270" s="8" customFormat="1" x14ac:dyDescent="0.2"/>
    <row r="271" s="8" customFormat="1" x14ac:dyDescent="0.2"/>
    <row r="272" s="8" customFormat="1" x14ac:dyDescent="0.2"/>
    <row r="273" s="8" customFormat="1" x14ac:dyDescent="0.2"/>
    <row r="274" s="8" customFormat="1" x14ac:dyDescent="0.2"/>
    <row r="275" s="8" customFormat="1" x14ac:dyDescent="0.2"/>
    <row r="276" s="8" customFormat="1" x14ac:dyDescent="0.2"/>
    <row r="277" s="8" customFormat="1" x14ac:dyDescent="0.2"/>
    <row r="278" s="8" customFormat="1" x14ac:dyDescent="0.2"/>
    <row r="279" s="8" customFormat="1" x14ac:dyDescent="0.2"/>
    <row r="280" s="8" customFormat="1" x14ac:dyDescent="0.2"/>
    <row r="281" s="8" customFormat="1" x14ac:dyDescent="0.2"/>
    <row r="282" s="8" customFormat="1" x14ac:dyDescent="0.2"/>
    <row r="283" s="8" customFormat="1" x14ac:dyDescent="0.2"/>
    <row r="284" s="8" customFormat="1" x14ac:dyDescent="0.2"/>
    <row r="285" s="8" customFormat="1" x14ac:dyDescent="0.2"/>
    <row r="286" s="8" customFormat="1" x14ac:dyDescent="0.2"/>
    <row r="287" s="8" customFormat="1" x14ac:dyDescent="0.2"/>
    <row r="288" s="8" customFormat="1" x14ac:dyDescent="0.2"/>
    <row r="289" s="8" customFormat="1" x14ac:dyDescent="0.2"/>
    <row r="290" s="8" customFormat="1" x14ac:dyDescent="0.2"/>
    <row r="291" s="8" customFormat="1" x14ac:dyDescent="0.2"/>
    <row r="292" s="8" customFormat="1" x14ac:dyDescent="0.2"/>
    <row r="293" s="8" customFormat="1" x14ac:dyDescent="0.2"/>
    <row r="294" s="8" customFormat="1" x14ac:dyDescent="0.2"/>
    <row r="295" s="8" customFormat="1" x14ac:dyDescent="0.2"/>
    <row r="296" s="8" customFormat="1" x14ac:dyDescent="0.2"/>
    <row r="297" s="8" customFormat="1" x14ac:dyDescent="0.2"/>
    <row r="298" s="8" customFormat="1" x14ac:dyDescent="0.2"/>
    <row r="299" s="8" customFormat="1" x14ac:dyDescent="0.2"/>
    <row r="300" s="8" customFormat="1" x14ac:dyDescent="0.2"/>
    <row r="301" s="8" customFormat="1" x14ac:dyDescent="0.2"/>
    <row r="302" s="8" customFormat="1" x14ac:dyDescent="0.2"/>
    <row r="303" s="8" customFormat="1" x14ac:dyDescent="0.2"/>
    <row r="304" s="8" customFormat="1" x14ac:dyDescent="0.2"/>
    <row r="305" s="8" customFormat="1" x14ac:dyDescent="0.2"/>
    <row r="306" s="8" customFormat="1" x14ac:dyDescent="0.2"/>
    <row r="307" s="8" customFormat="1" x14ac:dyDescent="0.2"/>
    <row r="308" s="8" customFormat="1" x14ac:dyDescent="0.2"/>
    <row r="309" s="8" customFormat="1" x14ac:dyDescent="0.2"/>
    <row r="310" s="8" customFormat="1" x14ac:dyDescent="0.2"/>
    <row r="311" s="8" customFormat="1" x14ac:dyDescent="0.2"/>
    <row r="312" s="8" customFormat="1" x14ac:dyDescent="0.2"/>
    <row r="313" s="8" customFormat="1" x14ac:dyDescent="0.2"/>
    <row r="314" s="8" customFormat="1" x14ac:dyDescent="0.2"/>
    <row r="315" s="8" customFormat="1" x14ac:dyDescent="0.2"/>
    <row r="316" s="8" customFormat="1" x14ac:dyDescent="0.2"/>
    <row r="317" s="8" customFormat="1" x14ac:dyDescent="0.2"/>
    <row r="318" s="8" customFormat="1" x14ac:dyDescent="0.2"/>
    <row r="319" s="8" customFormat="1" x14ac:dyDescent="0.2"/>
    <row r="320" s="8" customFormat="1" x14ac:dyDescent="0.2"/>
    <row r="321" s="8" customFormat="1" x14ac:dyDescent="0.2"/>
    <row r="322" s="8" customFormat="1" x14ac:dyDescent="0.2"/>
    <row r="323" s="8" customFormat="1" x14ac:dyDescent="0.2"/>
    <row r="324" s="8" customFormat="1" x14ac:dyDescent="0.2"/>
    <row r="325" s="8" customFormat="1" x14ac:dyDescent="0.2"/>
    <row r="326" s="8" customFormat="1" x14ac:dyDescent="0.2"/>
    <row r="327" s="8" customFormat="1" x14ac:dyDescent="0.2"/>
    <row r="328" s="8" customFormat="1" x14ac:dyDescent="0.2"/>
    <row r="329" s="8" customFormat="1" x14ac:dyDescent="0.2"/>
    <row r="330" s="8" customFormat="1" x14ac:dyDescent="0.2"/>
    <row r="331" s="8" customFormat="1" x14ac:dyDescent="0.2"/>
    <row r="332" s="8" customFormat="1" x14ac:dyDescent="0.2"/>
    <row r="333" s="8" customFormat="1" x14ac:dyDescent="0.2"/>
    <row r="334" s="8" customFormat="1" x14ac:dyDescent="0.2"/>
    <row r="335" s="8" customFormat="1" x14ac:dyDescent="0.2"/>
    <row r="336" s="8" customFormat="1" x14ac:dyDescent="0.2"/>
    <row r="337" s="8" customFormat="1" x14ac:dyDescent="0.2"/>
    <row r="338" s="8" customFormat="1" x14ac:dyDescent="0.2"/>
    <row r="339" s="8" customFormat="1" x14ac:dyDescent="0.2"/>
    <row r="340" s="8" customFormat="1" x14ac:dyDescent="0.2"/>
    <row r="341" s="8" customFormat="1" x14ac:dyDescent="0.2"/>
    <row r="342" s="8" customFormat="1" x14ac:dyDescent="0.2"/>
    <row r="343" s="8" customFormat="1" x14ac:dyDescent="0.2"/>
    <row r="344" s="8" customFormat="1" x14ac:dyDescent="0.2"/>
    <row r="345" s="8" customFormat="1" x14ac:dyDescent="0.2"/>
    <row r="346" s="8" customFormat="1" x14ac:dyDescent="0.2"/>
    <row r="347" s="8" customFormat="1" x14ac:dyDescent="0.2"/>
    <row r="348" s="8" customFormat="1" x14ac:dyDescent="0.2"/>
    <row r="349" s="8" customFormat="1" x14ac:dyDescent="0.2"/>
    <row r="350" s="8" customFormat="1" x14ac:dyDescent="0.2"/>
    <row r="351" s="8" customFormat="1" x14ac:dyDescent="0.2"/>
    <row r="352" s="8" customFormat="1" x14ac:dyDescent="0.2"/>
    <row r="353" s="8" customFormat="1" x14ac:dyDescent="0.2"/>
    <row r="354" s="8" customFormat="1" x14ac:dyDescent="0.2"/>
    <row r="355" s="8" customFormat="1" x14ac:dyDescent="0.2"/>
    <row r="356" s="8" customFormat="1" x14ac:dyDescent="0.2"/>
    <row r="357" s="8" customFormat="1" x14ac:dyDescent="0.2"/>
    <row r="358" s="8" customFormat="1" x14ac:dyDescent="0.2"/>
    <row r="359" s="8" customFormat="1" x14ac:dyDescent="0.2"/>
    <row r="360" s="8" customFormat="1" x14ac:dyDescent="0.2"/>
    <row r="361" s="8" customFormat="1" x14ac:dyDescent="0.2"/>
    <row r="362" s="8" customFormat="1" x14ac:dyDescent="0.2"/>
    <row r="363" s="8" customFormat="1" x14ac:dyDescent="0.2"/>
    <row r="364" s="8" customFormat="1" x14ac:dyDescent="0.2"/>
    <row r="365" s="8" customFormat="1" x14ac:dyDescent="0.2"/>
    <row r="366" s="8" customFormat="1" x14ac:dyDescent="0.2"/>
    <row r="367" s="8" customFormat="1" x14ac:dyDescent="0.2"/>
    <row r="368" s="8" customFormat="1" x14ac:dyDescent="0.2"/>
    <row r="369" s="8" customFormat="1" x14ac:dyDescent="0.2"/>
    <row r="370" s="8" customFormat="1" x14ac:dyDescent="0.2"/>
    <row r="371" s="8" customFormat="1" x14ac:dyDescent="0.2"/>
    <row r="372" s="8" customFormat="1" x14ac:dyDescent="0.2"/>
    <row r="373" s="8" customFormat="1" x14ac:dyDescent="0.2"/>
    <row r="374" s="8" customFormat="1" x14ac:dyDescent="0.2"/>
    <row r="375" s="8" customFormat="1" x14ac:dyDescent="0.2"/>
    <row r="376" s="8" customFormat="1" x14ac:dyDescent="0.2"/>
    <row r="377" s="8" customFormat="1" x14ac:dyDescent="0.2"/>
    <row r="378" s="8" customFormat="1" x14ac:dyDescent="0.2"/>
    <row r="379" s="8" customFormat="1" x14ac:dyDescent="0.2"/>
    <row r="380" s="8" customFormat="1" x14ac:dyDescent="0.2"/>
    <row r="381" s="8" customFormat="1" x14ac:dyDescent="0.2"/>
    <row r="382" s="8" customFormat="1" x14ac:dyDescent="0.2"/>
    <row r="383" s="8" customFormat="1" x14ac:dyDescent="0.2"/>
    <row r="384" s="8" customFormat="1" x14ac:dyDescent="0.2"/>
    <row r="385" s="8" customFormat="1" x14ac:dyDescent="0.2"/>
    <row r="386" s="8" customFormat="1" x14ac:dyDescent="0.2"/>
    <row r="387" s="8" customFormat="1" x14ac:dyDescent="0.2"/>
    <row r="388" s="8" customFormat="1" x14ac:dyDescent="0.2"/>
    <row r="389" s="8" customFormat="1" x14ac:dyDescent="0.2"/>
    <row r="390" s="8" customFormat="1" x14ac:dyDescent="0.2"/>
    <row r="391" s="8" customFormat="1" x14ac:dyDescent="0.2"/>
    <row r="392" s="8" customFormat="1" x14ac:dyDescent="0.2"/>
    <row r="393" s="8" customFormat="1" x14ac:dyDescent="0.2"/>
    <row r="394" s="8" customFormat="1" x14ac:dyDescent="0.2"/>
    <row r="395" s="8" customFormat="1" x14ac:dyDescent="0.2"/>
    <row r="396" s="8" customFormat="1" x14ac:dyDescent="0.2"/>
    <row r="397" s="8" customFormat="1" x14ac:dyDescent="0.2"/>
    <row r="398" s="8" customFormat="1" x14ac:dyDescent="0.2"/>
    <row r="399" s="8" customFormat="1" x14ac:dyDescent="0.2"/>
    <row r="400" s="8" customFormat="1" x14ac:dyDescent="0.2"/>
    <row r="401" s="8" customFormat="1" x14ac:dyDescent="0.2"/>
    <row r="402" s="8" customFormat="1" x14ac:dyDescent="0.2"/>
    <row r="403" s="8" customFormat="1" x14ac:dyDescent="0.2"/>
    <row r="404" s="8" customFormat="1" x14ac:dyDescent="0.2"/>
    <row r="405" s="8" customFormat="1" x14ac:dyDescent="0.2"/>
    <row r="406" s="8" customFormat="1" x14ac:dyDescent="0.2"/>
    <row r="407" s="8" customFormat="1" x14ac:dyDescent="0.2"/>
    <row r="408" s="8" customFormat="1" x14ac:dyDescent="0.2"/>
    <row r="409" s="8" customFormat="1" x14ac:dyDescent="0.2"/>
    <row r="410" s="8" customFormat="1" x14ac:dyDescent="0.2"/>
    <row r="411" s="8" customFormat="1" x14ac:dyDescent="0.2"/>
    <row r="412" s="8" customFormat="1" x14ac:dyDescent="0.2"/>
    <row r="413" s="8" customFormat="1" x14ac:dyDescent="0.2"/>
    <row r="414" s="8" customFormat="1" x14ac:dyDescent="0.2"/>
    <row r="415" s="8" customFormat="1" x14ac:dyDescent="0.2"/>
    <row r="416" s="8" customFormat="1" x14ac:dyDescent="0.2"/>
    <row r="417" s="8" customFormat="1" x14ac:dyDescent="0.2"/>
    <row r="418" s="8" customFormat="1" x14ac:dyDescent="0.2"/>
    <row r="419" s="8" customFormat="1" x14ac:dyDescent="0.2"/>
    <row r="420" s="8" customFormat="1" x14ac:dyDescent="0.2"/>
    <row r="421" s="8" customFormat="1" x14ac:dyDescent="0.2"/>
    <row r="422" s="8" customFormat="1" x14ac:dyDescent="0.2"/>
    <row r="423" s="8" customFormat="1" x14ac:dyDescent="0.2"/>
    <row r="424" s="8" customFormat="1" x14ac:dyDescent="0.2"/>
    <row r="425" s="8" customFormat="1" x14ac:dyDescent="0.2"/>
    <row r="426" s="8" customFormat="1" x14ac:dyDescent="0.2"/>
    <row r="427" s="8" customFormat="1" x14ac:dyDescent="0.2"/>
    <row r="428" s="8" customFormat="1" x14ac:dyDescent="0.2"/>
    <row r="429" s="8" customFormat="1" x14ac:dyDescent="0.2"/>
    <row r="430" s="8" customFormat="1" x14ac:dyDescent="0.2"/>
    <row r="431" s="8" customFormat="1" x14ac:dyDescent="0.2"/>
    <row r="432" s="8" customFormat="1" x14ac:dyDescent="0.2"/>
    <row r="433" s="8" customFormat="1" x14ac:dyDescent="0.2"/>
    <row r="434" s="8" customFormat="1" x14ac:dyDescent="0.2"/>
    <row r="435" s="8" customFormat="1" x14ac:dyDescent="0.2"/>
    <row r="436" s="8" customFormat="1" x14ac:dyDescent="0.2"/>
    <row r="437" s="8" customFormat="1" x14ac:dyDescent="0.2"/>
    <row r="438" s="8" customFormat="1" x14ac:dyDescent="0.2"/>
    <row r="439" s="8" customFormat="1" x14ac:dyDescent="0.2"/>
    <row r="440" s="8" customFormat="1" x14ac:dyDescent="0.2"/>
    <row r="441" s="8" customFormat="1" x14ac:dyDescent="0.2"/>
    <row r="442" s="8" customFormat="1" x14ac:dyDescent="0.2"/>
    <row r="443" s="8" customFormat="1" x14ac:dyDescent="0.2"/>
    <row r="444" s="8" customFormat="1" x14ac:dyDescent="0.2"/>
    <row r="445" s="8" customFormat="1" x14ac:dyDescent="0.2"/>
    <row r="446" s="8" customFormat="1" x14ac:dyDescent="0.2"/>
    <row r="447" s="8" customFormat="1" x14ac:dyDescent="0.2"/>
    <row r="448" s="8" customFormat="1" x14ac:dyDescent="0.2"/>
    <row r="449" s="8" customFormat="1" x14ac:dyDescent="0.2"/>
    <row r="450" s="8" customFormat="1" x14ac:dyDescent="0.2"/>
    <row r="451" s="8" customFormat="1" x14ac:dyDescent="0.2"/>
    <row r="452" s="8" customFormat="1" x14ac:dyDescent="0.2"/>
    <row r="453" s="8" customFormat="1" x14ac:dyDescent="0.2"/>
    <row r="454" s="8" customFormat="1" x14ac:dyDescent="0.2"/>
    <row r="455" s="8" customFormat="1" x14ac:dyDescent="0.2"/>
    <row r="456" s="8" customFormat="1" x14ac:dyDescent="0.2"/>
    <row r="457" s="8" customFormat="1" x14ac:dyDescent="0.2"/>
    <row r="458" s="8" customFormat="1" x14ac:dyDescent="0.2"/>
    <row r="459" s="8" customFormat="1" x14ac:dyDescent="0.2"/>
    <row r="460" s="8" customFormat="1" x14ac:dyDescent="0.2"/>
    <row r="461" s="8" customFormat="1" x14ac:dyDescent="0.2"/>
    <row r="462" s="8" customFormat="1" x14ac:dyDescent="0.2"/>
    <row r="463" s="8" customFormat="1" x14ac:dyDescent="0.2"/>
    <row r="464" s="8" customFormat="1" x14ac:dyDescent="0.2"/>
    <row r="465" s="8" customFormat="1" x14ac:dyDescent="0.2"/>
    <row r="466" s="8" customFormat="1" x14ac:dyDescent="0.2"/>
    <row r="467" s="8" customFormat="1" x14ac:dyDescent="0.2"/>
    <row r="468" s="8" customFormat="1" x14ac:dyDescent="0.2"/>
    <row r="469" s="8" customFormat="1" x14ac:dyDescent="0.2"/>
    <row r="470" s="8" customFormat="1" x14ac:dyDescent="0.2"/>
    <row r="471" s="8" customFormat="1" x14ac:dyDescent="0.2"/>
    <row r="472" s="8" customFormat="1" x14ac:dyDescent="0.2"/>
    <row r="473" s="8" customFormat="1" x14ac:dyDescent="0.2"/>
    <row r="474" s="8" customFormat="1" x14ac:dyDescent="0.2"/>
    <row r="475" s="8" customFormat="1" x14ac:dyDescent="0.2"/>
    <row r="476" s="8" customFormat="1" x14ac:dyDescent="0.2"/>
    <row r="477" s="8" customFormat="1" x14ac:dyDescent="0.2"/>
    <row r="478" s="8" customFormat="1" x14ac:dyDescent="0.2"/>
    <row r="479" s="8" customFormat="1" x14ac:dyDescent="0.2"/>
    <row r="480" s="8" customFormat="1" x14ac:dyDescent="0.2"/>
    <row r="481" s="8" customFormat="1" x14ac:dyDescent="0.2"/>
    <row r="482" s="8" customFormat="1" x14ac:dyDescent="0.2"/>
    <row r="483" s="8" customFormat="1" x14ac:dyDescent="0.2"/>
    <row r="484" s="8" customFormat="1" x14ac:dyDescent="0.2"/>
    <row r="485" s="8" customFormat="1" x14ac:dyDescent="0.2"/>
    <row r="486" s="8" customFormat="1" x14ac:dyDescent="0.2"/>
    <row r="487" s="8" customFormat="1" x14ac:dyDescent="0.2"/>
    <row r="488" s="8" customFormat="1" x14ac:dyDescent="0.2"/>
    <row r="489" s="8" customFormat="1" x14ac:dyDescent="0.2"/>
    <row r="490" s="8" customFormat="1" x14ac:dyDescent="0.2"/>
    <row r="491" s="8" customFormat="1" x14ac:dyDescent="0.2"/>
    <row r="492" s="8" customFormat="1" x14ac:dyDescent="0.2"/>
    <row r="493" s="8" customFormat="1" x14ac:dyDescent="0.2"/>
    <row r="494" s="8" customFormat="1" x14ac:dyDescent="0.2"/>
    <row r="495" s="8" customFormat="1" x14ac:dyDescent="0.2"/>
    <row r="496" s="8" customFormat="1" x14ac:dyDescent="0.2"/>
    <row r="497" s="8" customFormat="1" x14ac:dyDescent="0.2"/>
    <row r="498" s="8" customFormat="1" x14ac:dyDescent="0.2"/>
    <row r="499" s="8" customFormat="1" x14ac:dyDescent="0.2"/>
    <row r="500" s="8" customFormat="1" x14ac:dyDescent="0.2"/>
    <row r="501" s="8" customFormat="1" x14ac:dyDescent="0.2"/>
    <row r="502" s="8" customFormat="1" x14ac:dyDescent="0.2"/>
    <row r="503" s="8" customFormat="1" x14ac:dyDescent="0.2"/>
    <row r="504" s="8" customFormat="1" x14ac:dyDescent="0.2"/>
    <row r="505" s="8" customFormat="1" x14ac:dyDescent="0.2"/>
    <row r="506" s="8" customFormat="1" x14ac:dyDescent="0.2"/>
    <row r="507" s="8" customFormat="1" x14ac:dyDescent="0.2"/>
    <row r="508" s="8" customFormat="1" x14ac:dyDescent="0.2"/>
    <row r="509" s="8" customFormat="1" x14ac:dyDescent="0.2"/>
    <row r="510" s="8" customFormat="1" x14ac:dyDescent="0.2"/>
    <row r="511" s="8" customFormat="1" x14ac:dyDescent="0.2"/>
    <row r="512" s="8" customFormat="1" x14ac:dyDescent="0.2"/>
    <row r="513" s="8" customFormat="1" x14ac:dyDescent="0.2"/>
    <row r="514" s="8" customFormat="1" x14ac:dyDescent="0.2"/>
    <row r="515" s="8" customFormat="1" x14ac:dyDescent="0.2"/>
    <row r="516" s="8" customFormat="1" x14ac:dyDescent="0.2"/>
    <row r="517" s="8" customFormat="1" x14ac:dyDescent="0.2"/>
    <row r="518" s="8" customFormat="1" x14ac:dyDescent="0.2"/>
    <row r="519" s="8" customFormat="1" x14ac:dyDescent="0.2"/>
    <row r="520" s="8" customFormat="1" x14ac:dyDescent="0.2"/>
    <row r="521" s="8" customFormat="1" x14ac:dyDescent="0.2"/>
    <row r="522" s="8" customFormat="1" x14ac:dyDescent="0.2"/>
    <row r="523" s="8" customFormat="1" x14ac:dyDescent="0.2"/>
    <row r="524" s="8" customFormat="1" x14ac:dyDescent="0.2"/>
    <row r="525" s="8" customFormat="1" x14ac:dyDescent="0.2"/>
    <row r="526" s="8" customFormat="1" x14ac:dyDescent="0.2"/>
    <row r="527" s="8" customFormat="1" x14ac:dyDescent="0.2"/>
    <row r="528" s="8" customFormat="1" x14ac:dyDescent="0.2"/>
    <row r="529" s="8" customFormat="1" x14ac:dyDescent="0.2"/>
    <row r="530" s="8" customFormat="1" x14ac:dyDescent="0.2"/>
    <row r="531" s="8" customFormat="1" x14ac:dyDescent="0.2"/>
    <row r="532" s="8" customFormat="1" x14ac:dyDescent="0.2"/>
    <row r="533" s="8" customFormat="1" x14ac:dyDescent="0.2"/>
    <row r="534" s="8" customFormat="1" x14ac:dyDescent="0.2"/>
    <row r="535" s="8" customFormat="1" x14ac:dyDescent="0.2"/>
    <row r="536" s="8" customFormat="1" x14ac:dyDescent="0.2"/>
    <row r="537" s="8" customFormat="1" x14ac:dyDescent="0.2"/>
    <row r="538" s="8" customFormat="1" x14ac:dyDescent="0.2"/>
    <row r="539" s="8" customFormat="1" x14ac:dyDescent="0.2"/>
    <row r="540" s="8" customFormat="1" x14ac:dyDescent="0.2"/>
    <row r="541" s="8" customFormat="1" x14ac:dyDescent="0.2"/>
    <row r="542" s="8" customFormat="1" x14ac:dyDescent="0.2"/>
    <row r="543" s="8" customFormat="1" x14ac:dyDescent="0.2"/>
    <row r="544" s="8" customFormat="1" x14ac:dyDescent="0.2"/>
    <row r="545" s="8" customFormat="1" x14ac:dyDescent="0.2"/>
    <row r="546" s="8" customFormat="1" x14ac:dyDescent="0.2"/>
    <row r="547" s="8" customFormat="1" x14ac:dyDescent="0.2"/>
    <row r="548" s="8" customFormat="1" x14ac:dyDescent="0.2"/>
    <row r="549" s="8" customFormat="1" x14ac:dyDescent="0.2"/>
    <row r="550" s="8" customFormat="1" x14ac:dyDescent="0.2"/>
    <row r="551" s="8" customFormat="1" x14ac:dyDescent="0.2"/>
    <row r="552" s="8" customFormat="1" x14ac:dyDescent="0.2"/>
    <row r="553" s="8" customFormat="1" x14ac:dyDescent="0.2"/>
    <row r="554" s="8" customFormat="1" x14ac:dyDescent="0.2"/>
    <row r="555" s="8" customFormat="1" x14ac:dyDescent="0.2"/>
    <row r="556" s="8" customFormat="1" x14ac:dyDescent="0.2"/>
    <row r="557" s="8" customFormat="1" x14ac:dyDescent="0.2"/>
    <row r="558" s="8" customFormat="1" x14ac:dyDescent="0.2"/>
    <row r="559" s="8" customFormat="1" x14ac:dyDescent="0.2"/>
    <row r="560" s="8" customFormat="1" x14ac:dyDescent="0.2"/>
    <row r="561" s="8" customFormat="1" x14ac:dyDescent="0.2"/>
    <row r="562" s="8" customFormat="1" x14ac:dyDescent="0.2"/>
    <row r="563" s="8" customFormat="1" x14ac:dyDescent="0.2"/>
    <row r="564" s="8" customFormat="1" x14ac:dyDescent="0.2"/>
    <row r="565" s="8" customFormat="1" x14ac:dyDescent="0.2"/>
    <row r="566" s="8" customFormat="1" x14ac:dyDescent="0.2"/>
    <row r="567" s="8" customFormat="1" x14ac:dyDescent="0.2"/>
    <row r="568" s="8" customFormat="1" x14ac:dyDescent="0.2"/>
    <row r="569" s="8" customFormat="1" x14ac:dyDescent="0.2"/>
    <row r="570" s="8" customFormat="1" x14ac:dyDescent="0.2"/>
    <row r="571" s="8" customFormat="1" x14ac:dyDescent="0.2"/>
    <row r="572" s="8" customFormat="1" x14ac:dyDescent="0.2"/>
    <row r="573" s="8" customFormat="1" x14ac:dyDescent="0.2"/>
    <row r="574" s="8" customFormat="1" x14ac:dyDescent="0.2"/>
    <row r="575" s="8" customFormat="1" x14ac:dyDescent="0.2"/>
    <row r="576" s="8" customFormat="1" x14ac:dyDescent="0.2"/>
    <row r="577" s="8" customFormat="1" x14ac:dyDescent="0.2"/>
    <row r="578" s="8" customFormat="1" x14ac:dyDescent="0.2"/>
    <row r="579" s="8" customFormat="1" x14ac:dyDescent="0.2"/>
    <row r="580" s="8" customFormat="1" x14ac:dyDescent="0.2"/>
    <row r="581" s="8" customFormat="1" x14ac:dyDescent="0.2"/>
    <row r="582" s="8" customFormat="1" x14ac:dyDescent="0.2"/>
    <row r="583" s="8" customFormat="1" x14ac:dyDescent="0.2"/>
    <row r="584" s="8" customFormat="1" x14ac:dyDescent="0.2"/>
    <row r="585" s="8" customFormat="1" x14ac:dyDescent="0.2"/>
    <row r="586" s="8" customFormat="1" x14ac:dyDescent="0.2"/>
  </sheetData>
  <sheetProtection algorithmName="SHA-512" hashValue="u+wygAPRDr6WnLCetOGPVwfx8+dSmbqVWlThMVVm1co5RNaMXtaYF9OOKAz4m3tUQS4RZ6JGtnxEf1jRYGu+Rg==" saltValue="WLZjVoBZFwSlnqUJZO4RXg==" spinCount="100000" objects="1" scenario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08" r:id="rId4" name="Button 188">
              <controlPr defaultSize="0" print="0" autoFill="0" autoPict="0">
                <anchor>
                  <from>
                    <xdr:col>15935</xdr:col>
                    <xdr:colOff>76200</xdr:colOff>
                    <xdr:row>0</xdr:row>
                    <xdr:rowOff>666750</xdr:rowOff>
                  </from>
                  <to>
                    <xdr:col>15935</xdr:col>
                    <xdr:colOff>76200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9" r:id="rId5" name="Button 189">
              <controlPr defaultSize="0" print="0" autoFill="0" autoPict="0">
                <anchor>
                  <from>
                    <xdr:col>15935</xdr:col>
                    <xdr:colOff>76200</xdr:colOff>
                    <xdr:row>0</xdr:row>
                    <xdr:rowOff>666750</xdr:rowOff>
                  </from>
                  <to>
                    <xdr:col>15935</xdr:col>
                    <xdr:colOff>76200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0" r:id="rId6" name="Button 190">
              <controlPr defaultSize="0" print="0" autoFill="0" autoPict="0">
                <anchor>
                  <from>
                    <xdr:col>15935</xdr:col>
                    <xdr:colOff>76200</xdr:colOff>
                    <xdr:row>1</xdr:row>
                    <xdr:rowOff>95250</xdr:rowOff>
                  </from>
                  <to>
                    <xdr:col>15935</xdr:col>
                    <xdr:colOff>76200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1" r:id="rId7" name="Button 191">
              <controlPr defaultSize="0" print="0" autoFill="0" autoPict="0">
                <anchor>
                  <from>
                    <xdr:col>15935</xdr:col>
                    <xdr:colOff>76200</xdr:colOff>
                    <xdr:row>1</xdr:row>
                    <xdr:rowOff>95250</xdr:rowOff>
                  </from>
                  <to>
                    <xdr:col>15935</xdr:col>
                    <xdr:colOff>76200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2" r:id="rId8" name="Button 192">
              <controlPr defaultSize="0" print="0" autoFill="0" autoPict="0">
                <anchor>
                  <from>
                    <xdr:col>15935</xdr:col>
                    <xdr:colOff>76200</xdr:colOff>
                    <xdr:row>0</xdr:row>
                    <xdr:rowOff>666750</xdr:rowOff>
                  </from>
                  <to>
                    <xdr:col>15935</xdr:col>
                    <xdr:colOff>76200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9" name="Button 193">
              <controlPr defaultSize="0" print="0" autoFill="0" autoPict="0">
                <anchor>
                  <from>
                    <xdr:col>15935</xdr:col>
                    <xdr:colOff>76200</xdr:colOff>
                    <xdr:row>0</xdr:row>
                    <xdr:rowOff>666750</xdr:rowOff>
                  </from>
                  <to>
                    <xdr:col>15935</xdr:col>
                    <xdr:colOff>76200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10" name="Button 194">
              <controlPr defaultSize="0" print="0" autoFill="0" autoPict="0">
                <anchor>
                  <from>
                    <xdr:col>15935</xdr:col>
                    <xdr:colOff>76200</xdr:colOff>
                    <xdr:row>0</xdr:row>
                    <xdr:rowOff>666750</xdr:rowOff>
                  </from>
                  <to>
                    <xdr:col>15935</xdr:col>
                    <xdr:colOff>76200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11" name="Button 195">
              <controlPr defaultSize="0" print="0" autoFill="0" autoPict="0">
                <anchor>
                  <from>
                    <xdr:col>15935</xdr:col>
                    <xdr:colOff>76200</xdr:colOff>
                    <xdr:row>0</xdr:row>
                    <xdr:rowOff>666750</xdr:rowOff>
                  </from>
                  <to>
                    <xdr:col>15935</xdr:col>
                    <xdr:colOff>76200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12" name="Button 196">
              <controlPr defaultSize="0" print="0" autoFill="0" autoPict="0">
                <anchor>
                  <from>
                    <xdr:col>15935</xdr:col>
                    <xdr:colOff>76200</xdr:colOff>
                    <xdr:row>0</xdr:row>
                    <xdr:rowOff>676275</xdr:rowOff>
                  </from>
                  <to>
                    <xdr:col>15935</xdr:col>
                    <xdr:colOff>76200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13" name="Button 197">
              <controlPr defaultSize="0" print="0" autoFill="0" autoPict="0">
                <anchor>
                  <from>
                    <xdr:col>15935</xdr:col>
                    <xdr:colOff>76200</xdr:colOff>
                    <xdr:row>0</xdr:row>
                    <xdr:rowOff>676275</xdr:rowOff>
                  </from>
                  <to>
                    <xdr:col>15935</xdr:col>
                    <xdr:colOff>76200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14" name="Button 198">
              <controlPr defaultSize="0" print="0" autoFill="0" autoPict="0">
                <anchor>
                  <from>
                    <xdr:col>15935</xdr:col>
                    <xdr:colOff>76200</xdr:colOff>
                    <xdr:row>1</xdr:row>
                    <xdr:rowOff>95250</xdr:rowOff>
                  </from>
                  <to>
                    <xdr:col>15935</xdr:col>
                    <xdr:colOff>76200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15" name="Button 199">
              <controlPr defaultSize="0" print="0" autoFill="0" autoPict="0">
                <anchor>
                  <from>
                    <xdr:col>15935</xdr:col>
                    <xdr:colOff>76200</xdr:colOff>
                    <xdr:row>1</xdr:row>
                    <xdr:rowOff>95250</xdr:rowOff>
                  </from>
                  <to>
                    <xdr:col>15935</xdr:col>
                    <xdr:colOff>76200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16" name="Button 200">
              <controlPr defaultSize="0" print="0" autoFill="0" autoPict="0">
                <anchor>
                  <from>
                    <xdr:col>15935</xdr:col>
                    <xdr:colOff>76200</xdr:colOff>
                    <xdr:row>0</xdr:row>
                    <xdr:rowOff>666750</xdr:rowOff>
                  </from>
                  <to>
                    <xdr:col>15935</xdr:col>
                    <xdr:colOff>76200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17" name="Button 201">
              <controlPr defaultSize="0" print="0" autoFill="0" autoPict="0">
                <anchor>
                  <from>
                    <xdr:col>15935</xdr:col>
                    <xdr:colOff>76200</xdr:colOff>
                    <xdr:row>0</xdr:row>
                    <xdr:rowOff>666750</xdr:rowOff>
                  </from>
                  <to>
                    <xdr:col>15935</xdr:col>
                    <xdr:colOff>76200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18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148A9-84E0-4700-981E-74517C6F5EDD}">
  <sheetPr codeName="Planilha4"/>
  <dimension ref="D1:I14"/>
  <sheetViews>
    <sheetView showGridLines="0" zoomScaleNormal="100" workbookViewId="0">
      <selection activeCell="J22" sqref="J22"/>
    </sheetView>
  </sheetViews>
  <sheetFormatPr defaultRowHeight="12.75" x14ac:dyDescent="0.2"/>
  <cols>
    <col min="4" max="4" width="11.140625" bestFit="1" customWidth="1"/>
    <col min="5" max="5" width="18.28515625" bestFit="1" customWidth="1"/>
    <col min="6" max="7" width="16.42578125" bestFit="1" customWidth="1"/>
    <col min="8" max="8" width="27.42578125" bestFit="1" customWidth="1"/>
    <col min="9" max="9" width="9.7109375" bestFit="1" customWidth="1"/>
    <col min="10" max="10" width="21.42578125" bestFit="1" customWidth="1"/>
  </cols>
  <sheetData>
    <row r="1" spans="4:9" ht="6" customHeight="1" x14ac:dyDescent="0.2"/>
    <row r="2" spans="4:9" ht="20.100000000000001" customHeight="1" thickBot="1" x14ac:dyDescent="0.25">
      <c r="D2" s="49" t="s">
        <v>187</v>
      </c>
      <c r="E2" s="49" t="s">
        <v>208</v>
      </c>
      <c r="F2" s="49" t="s">
        <v>207</v>
      </c>
      <c r="G2" s="49" t="s">
        <v>206</v>
      </c>
      <c r="H2" s="49" t="s">
        <v>209</v>
      </c>
      <c r="I2" s="49" t="s">
        <v>210</v>
      </c>
    </row>
    <row r="3" spans="4:9" ht="20.100000000000001" customHeight="1" thickTop="1" x14ac:dyDescent="0.2">
      <c r="D3" s="50" t="s">
        <v>193</v>
      </c>
      <c r="E3" s="51">
        <v>377</v>
      </c>
      <c r="F3" s="51">
        <v>15</v>
      </c>
      <c r="G3" s="51">
        <v>29</v>
      </c>
      <c r="H3" s="51"/>
      <c r="I3" s="52">
        <v>0.29551929721144926</v>
      </c>
    </row>
    <row r="4" spans="4:9" ht="20.100000000000001" customHeight="1" x14ac:dyDescent="0.2">
      <c r="D4" s="50" t="s">
        <v>194</v>
      </c>
      <c r="E4" s="51">
        <v>291</v>
      </c>
      <c r="F4" s="51">
        <v>16</v>
      </c>
      <c r="G4" s="51">
        <v>29</v>
      </c>
      <c r="H4" s="51"/>
      <c r="I4" s="52">
        <v>0.31363310935903776</v>
      </c>
    </row>
    <row r="5" spans="4:9" ht="20.100000000000001" customHeight="1" x14ac:dyDescent="0.2">
      <c r="D5" s="50" t="s">
        <v>195</v>
      </c>
      <c r="E5" s="51">
        <v>274</v>
      </c>
      <c r="F5" s="51">
        <v>12</v>
      </c>
      <c r="G5" s="51">
        <v>29</v>
      </c>
      <c r="H5" s="51"/>
      <c r="I5" s="52">
        <v>0.34465869715869712</v>
      </c>
    </row>
    <row r="6" spans="4:9" ht="20.100000000000001" customHeight="1" x14ac:dyDescent="0.2">
      <c r="D6" s="50" t="s">
        <v>196</v>
      </c>
      <c r="E6" s="51">
        <v>281</v>
      </c>
      <c r="F6" s="51">
        <v>40</v>
      </c>
      <c r="G6" s="51">
        <v>33</v>
      </c>
      <c r="H6" s="51"/>
      <c r="I6" s="52">
        <v>0.95105858944368271</v>
      </c>
    </row>
    <row r="7" spans="4:9" ht="20.100000000000001" customHeight="1" x14ac:dyDescent="0.2">
      <c r="D7" s="50" t="s">
        <v>197</v>
      </c>
      <c r="E7" s="51">
        <v>275</v>
      </c>
      <c r="F7" s="51">
        <v>37</v>
      </c>
      <c r="G7" s="51">
        <v>43</v>
      </c>
      <c r="H7" s="51"/>
      <c r="I7" s="52">
        <v>0.63513136169386164</v>
      </c>
    </row>
    <row r="8" spans="4:9" ht="20.100000000000001" customHeight="1" x14ac:dyDescent="0.2">
      <c r="D8" s="50" t="s">
        <v>198</v>
      </c>
      <c r="E8" s="51">
        <v>281</v>
      </c>
      <c r="F8" s="51">
        <v>15</v>
      </c>
      <c r="G8" s="51">
        <v>9</v>
      </c>
      <c r="H8" s="51"/>
      <c r="I8" s="52">
        <v>0.16135848278705422</v>
      </c>
    </row>
    <row r="9" spans="4:9" ht="20.100000000000001" customHeight="1" x14ac:dyDescent="0.2">
      <c r="D9" s="50" t="s">
        <v>199</v>
      </c>
      <c r="E9" s="51">
        <v>318</v>
      </c>
      <c r="F9" s="51">
        <v>51</v>
      </c>
      <c r="G9" s="51">
        <v>14</v>
      </c>
      <c r="H9" s="51"/>
      <c r="I9" s="52">
        <v>0.58428607908944985</v>
      </c>
    </row>
    <row r="10" spans="4:9" ht="20.100000000000001" customHeight="1" x14ac:dyDescent="0.2">
      <c r="D10" s="50" t="s">
        <v>200</v>
      </c>
      <c r="E10" s="51">
        <v>357</v>
      </c>
      <c r="F10" s="51">
        <v>55</v>
      </c>
      <c r="G10" s="51">
        <v>16</v>
      </c>
      <c r="H10" s="51"/>
      <c r="I10" s="52">
        <v>0.61010495354394378</v>
      </c>
    </row>
    <row r="11" spans="4:9" ht="20.100000000000001" customHeight="1" x14ac:dyDescent="0.2">
      <c r="D11" s="50" t="s">
        <v>201</v>
      </c>
      <c r="E11" s="51">
        <v>355</v>
      </c>
      <c r="F11" s="51">
        <v>31</v>
      </c>
      <c r="G11" s="51">
        <v>33</v>
      </c>
      <c r="H11" s="51"/>
      <c r="I11" s="52">
        <v>0.48694551477135661</v>
      </c>
    </row>
    <row r="12" spans="4:9" ht="20.100000000000001" customHeight="1" x14ac:dyDescent="0.2">
      <c r="D12" s="50" t="s">
        <v>202</v>
      </c>
      <c r="E12" s="51">
        <v>352</v>
      </c>
      <c r="F12" s="51">
        <v>23</v>
      </c>
      <c r="G12" s="51">
        <v>26</v>
      </c>
      <c r="H12" s="51"/>
      <c r="I12" s="52">
        <v>0.32065957485200752</v>
      </c>
    </row>
    <row r="13" spans="4:9" ht="20.100000000000001" customHeight="1" x14ac:dyDescent="0.2">
      <c r="D13" s="50" t="s">
        <v>203</v>
      </c>
      <c r="E13" s="51">
        <v>359</v>
      </c>
      <c r="F13" s="51">
        <v>28</v>
      </c>
      <c r="G13" s="51">
        <v>21</v>
      </c>
      <c r="H13" s="51"/>
      <c r="I13" s="52">
        <v>0.34401259170108922</v>
      </c>
    </row>
    <row r="14" spans="4:9" ht="20.100000000000001" customHeight="1" x14ac:dyDescent="0.2">
      <c r="D14" s="50" t="s">
        <v>204</v>
      </c>
      <c r="E14" s="51">
        <v>391</v>
      </c>
      <c r="F14" s="51">
        <v>51</v>
      </c>
      <c r="G14" s="51">
        <v>19</v>
      </c>
      <c r="H14" s="51"/>
      <c r="I14" s="52">
        <v>0.41810403364751186</v>
      </c>
    </row>
  </sheetData>
  <sheetProtection algorithmName="SHA-512" hashValue="LfHW2cCHjv3K3HlqcyE3c7F4NGd8CWFm19ZNa4mh+vZDIaSH9P4ylAyHQ0CtvlR+MEb8cv5oJ3nMg/mx8+No2Q==" saltValue="vn4y5u1Y97UrUdjw/c2acw==" spinCount="100000" objects="1" scenario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Relação de Funcionários Gerais</vt:lpstr>
      <vt:lpstr>Dinamicas</vt:lpstr>
      <vt:lpstr>Base de dados 02</vt:lpstr>
      <vt:lpstr>Dash</vt:lpstr>
      <vt:lpstr>Dashboard</vt:lpstr>
    </vt:vector>
  </TitlesOfParts>
  <Company>MF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Planilha Controle de Turnover</dc:title>
  <dc:creator>MF Produções Digitais</dc:creator>
  <cp:keywords>MF</cp:keywords>
  <cp:lastModifiedBy>Roberto de Lima</cp:lastModifiedBy>
  <dcterms:created xsi:type="dcterms:W3CDTF">2024-01-17T14:17:52Z</dcterms:created>
  <dcterms:modified xsi:type="dcterms:W3CDTF">2024-08-15T15:08:37Z</dcterms:modified>
</cp:coreProperties>
</file>